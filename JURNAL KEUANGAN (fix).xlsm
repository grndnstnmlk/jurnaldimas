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https://d.docs.live.net/86d1527f5459fc5c/CV RINTISAN/"/>
    </mc:Choice>
  </mc:AlternateContent>
  <xr:revisionPtr revIDLastSave="155" documentId="13_ncr:1_{8D549FA8-82EF-4F58-A292-ACD59FFD716D}" xr6:coauthVersionLast="47" xr6:coauthVersionMax="47" xr10:uidLastSave="{67D68BA2-C959-4DC9-96FB-A023C2B6A09D}"/>
  <bookViews>
    <workbookView xWindow="-120" yWindow="-120" windowWidth="20730" windowHeight="11760" tabRatio="777" activeTab="5" xr2:uid="{D75CA5FE-5BAC-4412-890F-39E72A1B7B45}"/>
  </bookViews>
  <sheets>
    <sheet name="Laba-Rugi" sheetId="15" r:id="rId1"/>
    <sheet name="Nota Transaksi" sheetId="6" r:id="rId2"/>
    <sheet name="Stock Opname" sheetId="2" r:id="rId3"/>
    <sheet name="Laporan Bisnis &amp; Keuangan" sheetId="10" r:id="rId4"/>
    <sheet name="Master Data" sheetId="8" r:id="rId5"/>
    <sheet name="Data Produk" sheetId="9" r:id="rId6"/>
    <sheet name="STRATEGIC ROADMAP" sheetId="13" r:id="rId7"/>
  </sheets>
  <externalReferences>
    <externalReference r:id="rId8"/>
  </externalReferences>
  <definedNames>
    <definedName name="_xlnm._FilterDatabase" localSheetId="5" hidden="1">'Data Produk'!$A$8:$C$127</definedName>
    <definedName name="_xlnm._FilterDatabase" localSheetId="4" hidden="1">'Master Data'!$B$2:$W$122</definedName>
    <definedName name="_xlnm._FilterDatabase" localSheetId="1" hidden="1">#REF!</definedName>
    <definedName name="_xlnm._FilterDatabase" localSheetId="2" hidden="1">'Stock Opname'!$B$6:$F$119</definedName>
    <definedName name="MERK">'[1]MASTER DATA'!$A$2:$A$271</definedName>
    <definedName name="PEMBELI">'[1]MASTER DATA'!$C$2:$C$71</definedName>
    <definedName name="Slicer_NAMA_PEMBELI">#N/A</definedName>
    <definedName name="Slicer_PRODUK">#N/A</definedName>
    <definedName name="Slicer_TANGGAL">#N/A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9" i="9" l="1" a="1"/>
  <c r="Z9" i="9" s="1"/>
  <c r="Z10" i="9" a="1"/>
  <c r="Z10" i="9" s="1"/>
  <c r="Z11" i="9" a="1"/>
  <c r="Z11" i="9"/>
  <c r="Z12" i="9" a="1"/>
  <c r="Z12" i="9"/>
  <c r="Z13" i="9" a="1"/>
  <c r="Z13" i="9" s="1"/>
  <c r="Z14" i="9" a="1"/>
  <c r="Z14" i="9" s="1"/>
  <c r="Z15" i="9" a="1"/>
  <c r="Z15" i="9"/>
  <c r="Z16" i="9" a="1"/>
  <c r="Z16" i="9"/>
  <c r="Z17" i="9" a="1"/>
  <c r="Z17" i="9" s="1"/>
  <c r="Z18" i="9" a="1"/>
  <c r="Z18" i="9" s="1"/>
  <c r="Z19" i="9" a="1"/>
  <c r="Z19" i="9"/>
  <c r="Z20" i="9" a="1"/>
  <c r="Z20" i="9"/>
  <c r="Z21" i="9" a="1"/>
  <c r="Z21" i="9" s="1"/>
  <c r="Z22" i="9" a="1"/>
  <c r="Z22" i="9" s="1"/>
  <c r="Z23" i="9" a="1"/>
  <c r="Z23" i="9"/>
  <c r="Z24" i="9" a="1"/>
  <c r="Z24" i="9"/>
  <c r="Z25" i="9" a="1"/>
  <c r="Z25" i="9" s="1"/>
  <c r="Z26" i="9" a="1"/>
  <c r="Z26" i="9" s="1"/>
  <c r="Z27" i="9" a="1"/>
  <c r="Z27" i="9"/>
  <c r="Z28" i="9" a="1"/>
  <c r="Z28" i="9"/>
  <c r="Z29" i="9" a="1"/>
  <c r="Z29" i="9" s="1"/>
  <c r="Z30" i="9" a="1"/>
  <c r="Z30" i="9" s="1"/>
  <c r="Z31" i="9" a="1"/>
  <c r="Z31" i="9"/>
  <c r="Z32" i="9" a="1"/>
  <c r="Z32" i="9"/>
  <c r="Z33" i="9" a="1"/>
  <c r="Z33" i="9" s="1"/>
  <c r="Z34" i="9" a="1"/>
  <c r="Z34" i="9" s="1"/>
  <c r="Z35" i="9" a="1"/>
  <c r="Z35" i="9"/>
  <c r="Z36" i="9" a="1"/>
  <c r="Z36" i="9"/>
  <c r="Z37" i="9" a="1"/>
  <c r="Z37" i="9" s="1"/>
  <c r="Z38" i="9" a="1"/>
  <c r="Z38" i="9" s="1"/>
  <c r="Z39" i="9" a="1"/>
  <c r="Z39" i="9"/>
  <c r="Z40" i="9" a="1"/>
  <c r="Z40" i="9"/>
  <c r="Z41" i="9" a="1"/>
  <c r="Z41" i="9" s="1"/>
  <c r="Z42" i="9" a="1"/>
  <c r="Z42" i="9" s="1"/>
  <c r="Z43" i="9" a="1"/>
  <c r="Z43" i="9"/>
  <c r="Z44" i="9" a="1"/>
  <c r="Z44" i="9"/>
  <c r="Z45" i="9" a="1"/>
  <c r="Z45" i="9" s="1"/>
  <c r="Z46" i="9" a="1"/>
  <c r="Z46" i="9" s="1"/>
  <c r="Z47" i="9" a="1"/>
  <c r="Z47" i="9"/>
  <c r="Z48" i="9" a="1"/>
  <c r="Z48" i="9"/>
  <c r="Z49" i="9" a="1"/>
  <c r="Z49" i="9" s="1"/>
  <c r="Z50" i="9" a="1"/>
  <c r="Z50" i="9" s="1"/>
  <c r="Z51" i="9" a="1"/>
  <c r="Z51" i="9"/>
  <c r="Z52" i="9" a="1"/>
  <c r="Z52" i="9"/>
  <c r="Z53" i="9" a="1"/>
  <c r="Z53" i="9" s="1"/>
  <c r="Z54" i="9" a="1"/>
  <c r="Z54" i="9" s="1"/>
  <c r="Z55" i="9" a="1"/>
  <c r="Z55" i="9"/>
  <c r="Z56" i="9" a="1"/>
  <c r="Z56" i="9"/>
  <c r="Z57" i="9" a="1"/>
  <c r="Z57" i="9" s="1"/>
  <c r="Z58" i="9" a="1"/>
  <c r="Z58" i="9" s="1"/>
  <c r="Z59" i="9" a="1"/>
  <c r="Z59" i="9"/>
  <c r="Z60" i="9" a="1"/>
  <c r="Z60" i="9"/>
  <c r="Z61" i="9" a="1"/>
  <c r="Z61" i="9" s="1"/>
  <c r="Z62" i="9" a="1"/>
  <c r="Z62" i="9" s="1"/>
  <c r="Z63" i="9" a="1"/>
  <c r="Z63" i="9"/>
  <c r="Z64" i="9" a="1"/>
  <c r="Z64" i="9"/>
  <c r="Z65" i="9" a="1"/>
  <c r="Z65" i="9" s="1"/>
  <c r="Z66" i="9" a="1"/>
  <c r="Z66" i="9" s="1"/>
  <c r="Z67" i="9" a="1"/>
  <c r="Z67" i="9"/>
  <c r="Z68" i="9" a="1"/>
  <c r="Z68" i="9"/>
  <c r="Z69" i="9" a="1"/>
  <c r="Z69" i="9" s="1"/>
  <c r="Z70" i="9" a="1"/>
  <c r="Z70" i="9" s="1"/>
  <c r="Z71" i="9" a="1"/>
  <c r="Z71" i="9"/>
  <c r="Z72" i="9" a="1"/>
  <c r="Z72" i="9"/>
  <c r="Z73" i="9" a="1"/>
  <c r="Z73" i="9" s="1"/>
  <c r="Z74" i="9" a="1"/>
  <c r="Z74" i="9" s="1"/>
  <c r="Z75" i="9" a="1"/>
  <c r="Z75" i="9"/>
  <c r="Z76" i="9" a="1"/>
  <c r="Z76" i="9"/>
  <c r="Z77" i="9" a="1"/>
  <c r="Z77" i="9" s="1"/>
  <c r="Z78" i="9" a="1"/>
  <c r="Z78" i="9" s="1"/>
  <c r="Z79" i="9" a="1"/>
  <c r="Z79" i="9"/>
  <c r="Z80" i="9" a="1"/>
  <c r="Z80" i="9"/>
  <c r="Z81" i="9" a="1"/>
  <c r="Z81" i="9" s="1"/>
  <c r="Z82" i="9" a="1"/>
  <c r="Z82" i="9" s="1"/>
  <c r="Z83" i="9" a="1"/>
  <c r="Z83" i="9"/>
  <c r="Z84" i="9" a="1"/>
  <c r="Z84" i="9"/>
  <c r="Z85" i="9" a="1"/>
  <c r="Z85" i="9" s="1"/>
  <c r="Z86" i="9" a="1"/>
  <c r="Z86" i="9" s="1"/>
  <c r="Z87" i="9" a="1"/>
  <c r="Z87" i="9"/>
  <c r="Z88" i="9" a="1"/>
  <c r="Z88" i="9"/>
  <c r="Z89" i="9" a="1"/>
  <c r="Z89" i="9" s="1"/>
  <c r="Z90" i="9" a="1"/>
  <c r="Z90" i="9" s="1"/>
  <c r="Z91" i="9" a="1"/>
  <c r="Z91" i="9"/>
  <c r="Z92" i="9" a="1"/>
  <c r="Z92" i="9"/>
  <c r="Z93" i="9" a="1"/>
  <c r="Z93" i="9" s="1"/>
  <c r="Z94" i="9" a="1"/>
  <c r="Z94" i="9" s="1"/>
  <c r="Z95" i="9" a="1"/>
  <c r="Z95" i="9"/>
  <c r="Z96" i="9" a="1"/>
  <c r="Z96" i="9"/>
  <c r="Z97" i="9" a="1"/>
  <c r="Z97" i="9" s="1"/>
  <c r="Z98" i="9" a="1"/>
  <c r="Z98" i="9" s="1"/>
  <c r="Z99" i="9" a="1"/>
  <c r="Z99" i="9"/>
  <c r="Z100" i="9" a="1"/>
  <c r="Z100" i="9"/>
  <c r="Z101" i="9" a="1"/>
  <c r="Z101" i="9" s="1"/>
  <c r="Z102" i="9" a="1"/>
  <c r="Z102" i="9" s="1"/>
  <c r="Z103" i="9" a="1"/>
  <c r="Z103" i="9"/>
  <c r="Z104" i="9" a="1"/>
  <c r="Z104" i="9"/>
  <c r="Z105" i="9" a="1"/>
  <c r="Z105" i="9" s="1"/>
  <c r="Z106" i="9" a="1"/>
  <c r="Z106" i="9" s="1"/>
  <c r="Z107" i="9" a="1"/>
  <c r="Z107" i="9"/>
  <c r="Z108" i="9" a="1"/>
  <c r="Z108" i="9"/>
  <c r="Z109" i="9" a="1"/>
  <c r="Z109" i="9" s="1"/>
  <c r="Z110" i="9" a="1"/>
  <c r="Z110" i="9" s="1"/>
  <c r="Z111" i="9" a="1"/>
  <c r="Z111" i="9"/>
  <c r="Z112" i="9" a="1"/>
  <c r="Z112" i="9"/>
  <c r="Z113" i="9" a="1"/>
  <c r="Z113" i="9" s="1"/>
  <c r="Z114" i="9" a="1"/>
  <c r="Z114" i="9" s="1"/>
  <c r="Z115" i="9" a="1"/>
  <c r="Z115" i="9"/>
  <c r="Z116" i="9" a="1"/>
  <c r="Z116" i="9" s="1"/>
  <c r="Z117" i="9" a="1"/>
  <c r="Z117" i="9" s="1"/>
  <c r="Z118" i="9" a="1"/>
  <c r="Z118" i="9" s="1"/>
  <c r="Z119" i="9" a="1"/>
  <c r="Z119" i="9"/>
  <c r="Z120" i="9" a="1"/>
  <c r="Z120" i="9"/>
  <c r="Z121" i="9" a="1"/>
  <c r="Z121" i="9" s="1"/>
  <c r="Z122" i="9" a="1"/>
  <c r="Z122" i="9" s="1"/>
  <c r="Z123" i="9" a="1"/>
  <c r="Z123" i="9"/>
  <c r="Z124" i="9" a="1"/>
  <c r="Z124" i="9" s="1"/>
  <c r="Z125" i="9" a="1"/>
  <c r="Z125" i="9" s="1"/>
  <c r="Z126" i="9" a="1"/>
  <c r="Z126" i="9" s="1"/>
  <c r="Z127" i="9" a="1"/>
  <c r="Z127" i="9"/>
  <c r="Z128" i="9" a="1"/>
  <c r="Z128" i="9" s="1"/>
  <c r="AA9" i="9" a="1"/>
  <c r="AA9" i="9" s="1"/>
  <c r="AA10" i="9" a="1"/>
  <c r="AA10" i="9" s="1"/>
  <c r="AA11" i="9" a="1"/>
  <c r="AA11" i="9" s="1"/>
  <c r="AA12" i="9" a="1"/>
  <c r="AA12" i="9" s="1"/>
  <c r="AA13" i="9" a="1"/>
  <c r="AA13" i="9" s="1"/>
  <c r="AA14" i="9" a="1"/>
  <c r="AA14" i="9" s="1"/>
  <c r="AA15" i="9" a="1"/>
  <c r="AA15" i="9" s="1"/>
  <c r="AA16" i="9" a="1"/>
  <c r="AA16" i="9" s="1"/>
  <c r="AA17" i="9" a="1"/>
  <c r="AA17" i="9" s="1"/>
  <c r="AA18" i="9" a="1"/>
  <c r="AA18" i="9" s="1"/>
  <c r="AA19" i="9" a="1"/>
  <c r="AA19" i="9" s="1"/>
  <c r="AA20" i="9" a="1"/>
  <c r="AA20" i="9" s="1"/>
  <c r="AA21" i="9" a="1"/>
  <c r="AA21" i="9" s="1"/>
  <c r="AA22" i="9" a="1"/>
  <c r="AA22" i="9" s="1"/>
  <c r="AA23" i="9" a="1"/>
  <c r="AA23" i="9" s="1"/>
  <c r="AA24" i="9" a="1"/>
  <c r="AA24" i="9" s="1"/>
  <c r="AA25" i="9" a="1"/>
  <c r="AA25" i="9" s="1"/>
  <c r="AA26" i="9" a="1"/>
  <c r="AA26" i="9" s="1"/>
  <c r="AA27" i="9" a="1"/>
  <c r="AA27" i="9" s="1"/>
  <c r="AA28" i="9" a="1"/>
  <c r="AA28" i="9" s="1"/>
  <c r="AA29" i="9" a="1"/>
  <c r="AA29" i="9" s="1"/>
  <c r="AA30" i="9" a="1"/>
  <c r="AA30" i="9" s="1"/>
  <c r="AA31" i="9" a="1"/>
  <c r="AA31" i="9" s="1"/>
  <c r="AA32" i="9" a="1"/>
  <c r="AA32" i="9" s="1"/>
  <c r="AA33" i="9" a="1"/>
  <c r="AA33" i="9" s="1"/>
  <c r="AA34" i="9" a="1"/>
  <c r="AA34" i="9" s="1"/>
  <c r="AA35" i="9" a="1"/>
  <c r="AA35" i="9" s="1"/>
  <c r="AA36" i="9" a="1"/>
  <c r="AA36" i="9" s="1"/>
  <c r="AA37" i="9" a="1"/>
  <c r="AA37" i="9" s="1"/>
  <c r="AA38" i="9" a="1"/>
  <c r="AA38" i="9" s="1"/>
  <c r="AA39" i="9" a="1"/>
  <c r="AA39" i="9" s="1"/>
  <c r="AA40" i="9" a="1"/>
  <c r="AA40" i="9" s="1"/>
  <c r="AA41" i="9" a="1"/>
  <c r="AA41" i="9" s="1"/>
  <c r="AA42" i="9" a="1"/>
  <c r="AA42" i="9" s="1"/>
  <c r="AA43" i="9" a="1"/>
  <c r="AA43" i="9" s="1"/>
  <c r="AA44" i="9" a="1"/>
  <c r="AA44" i="9" s="1"/>
  <c r="AA45" i="9" a="1"/>
  <c r="AA45" i="9" s="1"/>
  <c r="AA46" i="9" a="1"/>
  <c r="AA46" i="9" s="1"/>
  <c r="AA47" i="9" a="1"/>
  <c r="AA47" i="9" s="1"/>
  <c r="AA48" i="9" a="1"/>
  <c r="AA48" i="9" s="1"/>
  <c r="AA49" i="9" a="1"/>
  <c r="AA49" i="9" s="1"/>
  <c r="AA50" i="9" a="1"/>
  <c r="AA50" i="9" s="1"/>
  <c r="AA51" i="9" a="1"/>
  <c r="AA51" i="9" s="1"/>
  <c r="AA52" i="9" a="1"/>
  <c r="AA52" i="9" s="1"/>
  <c r="AA53" i="9" a="1"/>
  <c r="AA53" i="9" s="1"/>
  <c r="AA54" i="9" a="1"/>
  <c r="AA54" i="9" s="1"/>
  <c r="AA55" i="9" a="1"/>
  <c r="AA55" i="9" s="1"/>
  <c r="AA56" i="9" a="1"/>
  <c r="AA56" i="9" s="1"/>
  <c r="AA57" i="9" a="1"/>
  <c r="AA57" i="9" s="1"/>
  <c r="AA58" i="9" a="1"/>
  <c r="AA58" i="9" s="1"/>
  <c r="AA59" i="9" a="1"/>
  <c r="AA59" i="9" s="1"/>
  <c r="AA60" i="9" a="1"/>
  <c r="AA60" i="9" s="1"/>
  <c r="AA61" i="9" a="1"/>
  <c r="AA61" i="9" s="1"/>
  <c r="AA62" i="9" a="1"/>
  <c r="AA62" i="9" s="1"/>
  <c r="AA63" i="9" a="1"/>
  <c r="AA63" i="9" s="1"/>
  <c r="AA64" i="9" a="1"/>
  <c r="AA64" i="9" s="1"/>
  <c r="AA65" i="9" a="1"/>
  <c r="AA65" i="9" s="1"/>
  <c r="AA66" i="9" a="1"/>
  <c r="AA66" i="9" s="1"/>
  <c r="AA67" i="9" a="1"/>
  <c r="AA67" i="9" s="1"/>
  <c r="AA68" i="9" a="1"/>
  <c r="AA68" i="9" s="1"/>
  <c r="AA69" i="9" a="1"/>
  <c r="AA69" i="9" s="1"/>
  <c r="AA70" i="9" a="1"/>
  <c r="AA70" i="9" s="1"/>
  <c r="AA71" i="9" a="1"/>
  <c r="AA71" i="9" s="1"/>
  <c r="AA72" i="9" a="1"/>
  <c r="AA72" i="9" s="1"/>
  <c r="AA73" i="9" a="1"/>
  <c r="AA73" i="9" s="1"/>
  <c r="AA74" i="9" a="1"/>
  <c r="AA74" i="9" s="1"/>
  <c r="AA75" i="9" a="1"/>
  <c r="AA75" i="9" s="1"/>
  <c r="AA76" i="9" a="1"/>
  <c r="AA76" i="9" s="1"/>
  <c r="AA77" i="9" a="1"/>
  <c r="AA77" i="9" s="1"/>
  <c r="AA78" i="9" a="1"/>
  <c r="AA78" i="9" s="1"/>
  <c r="AA79" i="9" a="1"/>
  <c r="AA79" i="9" s="1"/>
  <c r="AA80" i="9" a="1"/>
  <c r="AA80" i="9" s="1"/>
  <c r="AA81" i="9" a="1"/>
  <c r="AA81" i="9" s="1"/>
  <c r="AA82" i="9" a="1"/>
  <c r="AA82" i="9" s="1"/>
  <c r="AA83" i="9" a="1"/>
  <c r="AA83" i="9" s="1"/>
  <c r="AA84" i="9" a="1"/>
  <c r="AA84" i="9" s="1"/>
  <c r="AA85" i="9" a="1"/>
  <c r="AA85" i="9" s="1"/>
  <c r="AA86" i="9" a="1"/>
  <c r="AA86" i="9" s="1"/>
  <c r="AA87" i="9" a="1"/>
  <c r="AA87" i="9" s="1"/>
  <c r="AA88" i="9" a="1"/>
  <c r="AA88" i="9" s="1"/>
  <c r="AA89" i="9" a="1"/>
  <c r="AA89" i="9" s="1"/>
  <c r="AA90" i="9" a="1"/>
  <c r="AA90" i="9" s="1"/>
  <c r="AA91" i="9" a="1"/>
  <c r="AA91" i="9" s="1"/>
  <c r="AA92" i="9" a="1"/>
  <c r="AA92" i="9" s="1"/>
  <c r="AA93" i="9" a="1"/>
  <c r="AA93" i="9" s="1"/>
  <c r="AA94" i="9" a="1"/>
  <c r="AA94" i="9" s="1"/>
  <c r="AA95" i="9" a="1"/>
  <c r="AA95" i="9" s="1"/>
  <c r="AA96" i="9" a="1"/>
  <c r="AA96" i="9" s="1"/>
  <c r="AA97" i="9" a="1"/>
  <c r="AA97" i="9" s="1"/>
  <c r="AA98" i="9" a="1"/>
  <c r="AA98" i="9" s="1"/>
  <c r="AA99" i="9" a="1"/>
  <c r="AA99" i="9" s="1"/>
  <c r="AA100" i="9" a="1"/>
  <c r="AA100" i="9" s="1"/>
  <c r="AA101" i="9" a="1"/>
  <c r="AA101" i="9" s="1"/>
  <c r="AA102" i="9" a="1"/>
  <c r="AA102" i="9" s="1"/>
  <c r="AA103" i="9" a="1"/>
  <c r="AA103" i="9" s="1"/>
  <c r="AA104" i="9" a="1"/>
  <c r="AA104" i="9" s="1"/>
  <c r="AA105" i="9" a="1"/>
  <c r="AA105" i="9" s="1"/>
  <c r="AA106" i="9" a="1"/>
  <c r="AA106" i="9" s="1"/>
  <c r="AA107" i="9" a="1"/>
  <c r="AA107" i="9" s="1"/>
  <c r="AA108" i="9" a="1"/>
  <c r="AA108" i="9" s="1"/>
  <c r="AA109" i="9" a="1"/>
  <c r="AA109" i="9" s="1"/>
  <c r="AA110" i="9" a="1"/>
  <c r="AA110" i="9" s="1"/>
  <c r="AA111" i="9" a="1"/>
  <c r="AA111" i="9" s="1"/>
  <c r="AA112" i="9" a="1"/>
  <c r="AA112" i="9" s="1"/>
  <c r="AA113" i="9" a="1"/>
  <c r="AA113" i="9" s="1"/>
  <c r="AA114" i="9" a="1"/>
  <c r="AA114" i="9" s="1"/>
  <c r="AA115" i="9" a="1"/>
  <c r="AA115" i="9" s="1"/>
  <c r="AA116" i="9" a="1"/>
  <c r="AA116" i="9" s="1"/>
  <c r="AA117" i="9" a="1"/>
  <c r="AA117" i="9" s="1"/>
  <c r="AA118" i="9" a="1"/>
  <c r="AA118" i="9" s="1"/>
  <c r="AA119" i="9" a="1"/>
  <c r="AA119" i="9" s="1"/>
  <c r="AA120" i="9" a="1"/>
  <c r="AA120" i="9" s="1"/>
  <c r="AA121" i="9" a="1"/>
  <c r="AA121" i="9" s="1"/>
  <c r="AA122" i="9" a="1"/>
  <c r="AA122" i="9" s="1"/>
  <c r="AA123" i="9" a="1"/>
  <c r="AA123" i="9" s="1"/>
  <c r="AA124" i="9" a="1"/>
  <c r="AA124" i="9" s="1"/>
  <c r="AA125" i="9" a="1"/>
  <c r="AA125" i="9" s="1"/>
  <c r="AA126" i="9" a="1"/>
  <c r="AA126" i="9" s="1"/>
  <c r="AA127" i="9" a="1"/>
  <c r="AA127" i="9" s="1"/>
  <c r="AA128" i="9" a="1"/>
  <c r="AA128" i="9" s="1"/>
  <c r="Y42" i="9" a="1"/>
  <c r="Y42" i="9" s="1"/>
  <c r="X42" i="9" a="1"/>
  <c r="X42" i="9" s="1"/>
  <c r="W42" i="9" a="1"/>
  <c r="W42" i="9" s="1"/>
  <c r="V42" i="9" a="1"/>
  <c r="V42" i="9" s="1"/>
  <c r="U42" i="9" a="1"/>
  <c r="U42" i="9" s="1"/>
  <c r="T42" i="9" a="1"/>
  <c r="T42" i="9" s="1"/>
  <c r="S42" i="9" a="1"/>
  <c r="S42" i="9" s="1"/>
  <c r="R42" i="9" a="1"/>
  <c r="R42" i="9" s="1"/>
  <c r="Q42" i="9" a="1"/>
  <c r="Q42" i="9" s="1"/>
  <c r="P42" i="9" a="1"/>
  <c r="P42" i="9" s="1"/>
  <c r="O42" i="9" a="1"/>
  <c r="O42" i="9" s="1"/>
  <c r="N42" i="9" a="1"/>
  <c r="N42" i="9" s="1"/>
  <c r="M42" i="9" a="1"/>
  <c r="M42" i="9" s="1"/>
  <c r="L42" i="9" a="1"/>
  <c r="L42" i="9" s="1"/>
  <c r="K42" i="9" a="1"/>
  <c r="K42" i="9" s="1"/>
  <c r="J42" i="9" a="1"/>
  <c r="J42" i="9" s="1"/>
  <c r="I42" i="9" a="1"/>
  <c r="I42" i="9" s="1"/>
  <c r="H42" i="9" a="1"/>
  <c r="H42" i="9" s="1"/>
  <c r="G42" i="9" a="1"/>
  <c r="G42" i="9" s="1"/>
  <c r="F42" i="9" a="1"/>
  <c r="F42" i="9" s="1"/>
  <c r="E42" i="9" a="1"/>
  <c r="E42" i="9" s="1"/>
  <c r="C42" i="9"/>
  <c r="Y43" i="9" a="1"/>
  <c r="Y43" i="9" s="1"/>
  <c r="X43" i="9" a="1"/>
  <c r="X43" i="9" s="1"/>
  <c r="W43" i="9" a="1"/>
  <c r="W43" i="9" s="1"/>
  <c r="V43" i="9" a="1"/>
  <c r="V43" i="9" s="1"/>
  <c r="U43" i="9" a="1"/>
  <c r="U43" i="9" s="1"/>
  <c r="T43" i="9" a="1"/>
  <c r="T43" i="9" s="1"/>
  <c r="S43" i="9" a="1"/>
  <c r="S43" i="9" s="1"/>
  <c r="R43" i="9" a="1"/>
  <c r="R43" i="9" s="1"/>
  <c r="Q43" i="9" a="1"/>
  <c r="Q43" i="9" s="1"/>
  <c r="P43" i="9" a="1"/>
  <c r="P43" i="9" s="1"/>
  <c r="O43" i="9" a="1"/>
  <c r="O43" i="9" s="1"/>
  <c r="N43" i="9" a="1"/>
  <c r="N43" i="9" s="1"/>
  <c r="M43" i="9" a="1"/>
  <c r="M43" i="9" s="1"/>
  <c r="L43" i="9" a="1"/>
  <c r="L43" i="9" s="1"/>
  <c r="K43" i="9" a="1"/>
  <c r="K43" i="9" s="1"/>
  <c r="J43" i="9" a="1"/>
  <c r="J43" i="9" s="1"/>
  <c r="I43" i="9" a="1"/>
  <c r="I43" i="9" s="1"/>
  <c r="H43" i="9" a="1"/>
  <c r="H43" i="9" s="1"/>
  <c r="G43" i="9" a="1"/>
  <c r="G43" i="9" s="1"/>
  <c r="F43" i="9" a="1"/>
  <c r="F43" i="9" s="1"/>
  <c r="E43" i="9" a="1"/>
  <c r="E43" i="9" s="1"/>
  <c r="C43" i="9"/>
  <c r="Y44" i="9" a="1"/>
  <c r="Y44" i="9" s="1"/>
  <c r="X44" i="9" a="1"/>
  <c r="X44" i="9" s="1"/>
  <c r="W44" i="9" a="1"/>
  <c r="W44" i="9" s="1"/>
  <c r="V44" i="9" a="1"/>
  <c r="V44" i="9" s="1"/>
  <c r="U44" i="9" a="1"/>
  <c r="U44" i="9" s="1"/>
  <c r="T44" i="9" a="1"/>
  <c r="T44" i="9" s="1"/>
  <c r="S44" i="9" a="1"/>
  <c r="S44" i="9" s="1"/>
  <c r="R44" i="9" a="1"/>
  <c r="R44" i="9" s="1"/>
  <c r="Q44" i="9" a="1"/>
  <c r="Q44" i="9" s="1"/>
  <c r="P44" i="9" a="1"/>
  <c r="P44" i="9" s="1"/>
  <c r="O44" i="9" a="1"/>
  <c r="O44" i="9" s="1"/>
  <c r="N44" i="9" a="1"/>
  <c r="N44" i="9" s="1"/>
  <c r="M44" i="9" a="1"/>
  <c r="M44" i="9" s="1"/>
  <c r="L44" i="9" a="1"/>
  <c r="L44" i="9" s="1"/>
  <c r="K44" i="9" a="1"/>
  <c r="K44" i="9" s="1"/>
  <c r="J44" i="9" a="1"/>
  <c r="J44" i="9" s="1"/>
  <c r="I44" i="9" a="1"/>
  <c r="I44" i="9" s="1"/>
  <c r="H44" i="9" a="1"/>
  <c r="H44" i="9" s="1"/>
  <c r="G44" i="9" a="1"/>
  <c r="G44" i="9" s="1"/>
  <c r="F44" i="9" a="1"/>
  <c r="F44" i="9" s="1"/>
  <c r="E44" i="9" a="1"/>
  <c r="E44" i="9" s="1"/>
  <c r="C44" i="9"/>
  <c r="Y28" i="9" a="1"/>
  <c r="Y28" i="9" s="1"/>
  <c r="X28" i="9" a="1"/>
  <c r="X28" i="9" s="1"/>
  <c r="W28" i="9" a="1"/>
  <c r="W28" i="9" s="1"/>
  <c r="V28" i="9" a="1"/>
  <c r="V28" i="9" s="1"/>
  <c r="U28" i="9" a="1"/>
  <c r="U28" i="9" s="1"/>
  <c r="T28" i="9" a="1"/>
  <c r="T28" i="9" s="1"/>
  <c r="S28" i="9" a="1"/>
  <c r="S28" i="9" s="1"/>
  <c r="R28" i="9" a="1"/>
  <c r="R28" i="9" s="1"/>
  <c r="Q28" i="9" a="1"/>
  <c r="Q28" i="9" s="1"/>
  <c r="P28" i="9" a="1"/>
  <c r="P28" i="9" s="1"/>
  <c r="O28" i="9" a="1"/>
  <c r="O28" i="9" s="1"/>
  <c r="N28" i="9" a="1"/>
  <c r="N28" i="9" s="1"/>
  <c r="M28" i="9" a="1"/>
  <c r="M28" i="9" s="1"/>
  <c r="L28" i="9" a="1"/>
  <c r="L28" i="9" s="1"/>
  <c r="K28" i="9" a="1"/>
  <c r="K28" i="9" s="1"/>
  <c r="J28" i="9" a="1"/>
  <c r="J28" i="9" s="1"/>
  <c r="I28" i="9" a="1"/>
  <c r="I28" i="9" s="1"/>
  <c r="H28" i="9" a="1"/>
  <c r="H28" i="9" s="1"/>
  <c r="G28" i="9" a="1"/>
  <c r="G28" i="9" s="1"/>
  <c r="F28" i="9" a="1"/>
  <c r="F28" i="9" s="1"/>
  <c r="E28" i="9" a="1"/>
  <c r="E28" i="9" s="1"/>
  <c r="C28" i="9"/>
  <c r="Y29" i="9" a="1"/>
  <c r="Y29" i="9" s="1"/>
  <c r="X29" i="9" a="1"/>
  <c r="X29" i="9" s="1"/>
  <c r="W29" i="9" a="1"/>
  <c r="W29" i="9" s="1"/>
  <c r="V29" i="9" a="1"/>
  <c r="V29" i="9" s="1"/>
  <c r="U29" i="9" a="1"/>
  <c r="U29" i="9" s="1"/>
  <c r="T29" i="9" a="1"/>
  <c r="T29" i="9" s="1"/>
  <c r="S29" i="9" a="1"/>
  <c r="S29" i="9" s="1"/>
  <c r="R29" i="9" a="1"/>
  <c r="R29" i="9" s="1"/>
  <c r="Q29" i="9" a="1"/>
  <c r="Q29" i="9" s="1"/>
  <c r="P29" i="9" a="1"/>
  <c r="P29" i="9" s="1"/>
  <c r="O29" i="9" a="1"/>
  <c r="O29" i="9" s="1"/>
  <c r="N29" i="9" a="1"/>
  <c r="N29" i="9" s="1"/>
  <c r="M29" i="9" a="1"/>
  <c r="M29" i="9" s="1"/>
  <c r="L29" i="9" a="1"/>
  <c r="L29" i="9" s="1"/>
  <c r="K29" i="9" a="1"/>
  <c r="K29" i="9" s="1"/>
  <c r="J29" i="9" a="1"/>
  <c r="J29" i="9" s="1"/>
  <c r="I29" i="9" a="1"/>
  <c r="I29" i="9" s="1"/>
  <c r="H29" i="9" a="1"/>
  <c r="H29" i="9" s="1"/>
  <c r="G29" i="9" a="1"/>
  <c r="G29" i="9" s="1"/>
  <c r="F29" i="9" a="1"/>
  <c r="F29" i="9" s="1"/>
  <c r="E29" i="9" a="1"/>
  <c r="E29" i="9" s="1"/>
  <c r="C29" i="9"/>
  <c r="Y53" i="9" a="1"/>
  <c r="Y53" i="9" s="1"/>
  <c r="X53" i="9" a="1"/>
  <c r="X53" i="9" s="1"/>
  <c r="W53" i="9" a="1"/>
  <c r="W53" i="9" s="1"/>
  <c r="V53" i="9" a="1"/>
  <c r="V53" i="9" s="1"/>
  <c r="U53" i="9" a="1"/>
  <c r="U53" i="9" s="1"/>
  <c r="T53" i="9" a="1"/>
  <c r="T53" i="9" s="1"/>
  <c r="S53" i="9" a="1"/>
  <c r="S53" i="9" s="1"/>
  <c r="R53" i="9" a="1"/>
  <c r="R53" i="9" s="1"/>
  <c r="Q53" i="9" a="1"/>
  <c r="Q53" i="9" s="1"/>
  <c r="P53" i="9" a="1"/>
  <c r="P53" i="9" s="1"/>
  <c r="O53" i="9" a="1"/>
  <c r="O53" i="9" s="1"/>
  <c r="N53" i="9" a="1"/>
  <c r="N53" i="9" s="1"/>
  <c r="M53" i="9" a="1"/>
  <c r="M53" i="9" s="1"/>
  <c r="L53" i="9" a="1"/>
  <c r="L53" i="9" s="1"/>
  <c r="K53" i="9" a="1"/>
  <c r="K53" i="9" s="1"/>
  <c r="J53" i="9" a="1"/>
  <c r="J53" i="9" s="1"/>
  <c r="I53" i="9" a="1"/>
  <c r="I53" i="9" s="1"/>
  <c r="H53" i="9" a="1"/>
  <c r="H53" i="9" s="1"/>
  <c r="G53" i="9" a="1"/>
  <c r="G53" i="9" s="1"/>
  <c r="F53" i="9" a="1"/>
  <c r="F53" i="9" s="1"/>
  <c r="E53" i="9" a="1"/>
  <c r="E53" i="9" s="1"/>
  <c r="C53" i="9"/>
  <c r="Y41" i="9" a="1"/>
  <c r="Y41" i="9" s="1"/>
  <c r="X41" i="9" a="1"/>
  <c r="X41" i="9" s="1"/>
  <c r="W41" i="9" a="1"/>
  <c r="W41" i="9" s="1"/>
  <c r="V41" i="9" a="1"/>
  <c r="V41" i="9" s="1"/>
  <c r="U41" i="9" a="1"/>
  <c r="U41" i="9" s="1"/>
  <c r="T41" i="9" a="1"/>
  <c r="T41" i="9" s="1"/>
  <c r="S41" i="9" a="1"/>
  <c r="S41" i="9" s="1"/>
  <c r="R41" i="9" a="1"/>
  <c r="R41" i="9" s="1"/>
  <c r="Q41" i="9" a="1"/>
  <c r="Q41" i="9" s="1"/>
  <c r="P41" i="9" a="1"/>
  <c r="P41" i="9" s="1"/>
  <c r="O41" i="9" a="1"/>
  <c r="O41" i="9" s="1"/>
  <c r="N41" i="9" a="1"/>
  <c r="N41" i="9" s="1"/>
  <c r="M41" i="9" a="1"/>
  <c r="M41" i="9" s="1"/>
  <c r="L41" i="9" a="1"/>
  <c r="L41" i="9" s="1"/>
  <c r="K41" i="9" a="1"/>
  <c r="K41" i="9" s="1"/>
  <c r="J41" i="9" a="1"/>
  <c r="J41" i="9" s="1"/>
  <c r="I41" i="9" a="1"/>
  <c r="I41" i="9" s="1"/>
  <c r="H41" i="9" a="1"/>
  <c r="H41" i="9" s="1"/>
  <c r="G41" i="9" a="1"/>
  <c r="G41" i="9" s="1"/>
  <c r="F41" i="9" a="1"/>
  <c r="F41" i="9" s="1"/>
  <c r="E41" i="9" a="1"/>
  <c r="E41" i="9" s="1"/>
  <c r="C41" i="9"/>
  <c r="I137" i="9"/>
  <c r="I136" i="9"/>
  <c r="I135" i="9"/>
  <c r="I134" i="9"/>
  <c r="I133" i="9"/>
  <c r="C43" i="15"/>
  <c r="D43" i="15" s="1"/>
  <c r="E43" i="15"/>
  <c r="C44" i="15"/>
  <c r="D44" i="15" s="1"/>
  <c r="E44" i="15"/>
  <c r="C45" i="15"/>
  <c r="D45" i="15" s="1"/>
  <c r="E45" i="15"/>
  <c r="C46" i="15"/>
  <c r="D46" i="15" s="1"/>
  <c r="E46" i="15"/>
  <c r="C47" i="15"/>
  <c r="D47" i="15" s="1"/>
  <c r="E47" i="15"/>
  <c r="C48" i="15"/>
  <c r="D48" i="15" s="1"/>
  <c r="E48" i="15"/>
  <c r="C49" i="15"/>
  <c r="D49" i="15" s="1"/>
  <c r="E49" i="15"/>
  <c r="C50" i="15"/>
  <c r="D50" i="15" s="1"/>
  <c r="E50" i="15"/>
  <c r="C51" i="15"/>
  <c r="D51" i="15" s="1"/>
  <c r="E51" i="15"/>
  <c r="C52" i="15"/>
  <c r="D52" i="15" s="1"/>
  <c r="E52" i="15"/>
  <c r="C53" i="15"/>
  <c r="D53" i="15" s="1"/>
  <c r="E53" i="15"/>
  <c r="C54" i="15"/>
  <c r="D54" i="15" s="1"/>
  <c r="E54" i="15"/>
  <c r="C55" i="15"/>
  <c r="D55" i="15" s="1"/>
  <c r="E55" i="15"/>
  <c r="C56" i="15"/>
  <c r="D56" i="15" s="1"/>
  <c r="E56" i="15"/>
  <c r="C57" i="15"/>
  <c r="D57" i="15" s="1"/>
  <c r="E57" i="15"/>
  <c r="C58" i="15"/>
  <c r="D58" i="15" s="1"/>
  <c r="E58" i="15"/>
  <c r="C59" i="15"/>
  <c r="D59" i="15" s="1"/>
  <c r="E59" i="15"/>
  <c r="C60" i="15"/>
  <c r="D60" i="15" s="1"/>
  <c r="E60" i="15"/>
  <c r="C61" i="15"/>
  <c r="D61" i="15" s="1"/>
  <c r="E61" i="15"/>
  <c r="C62" i="15"/>
  <c r="D62" i="15" s="1"/>
  <c r="E62" i="15"/>
  <c r="C63" i="15"/>
  <c r="D63" i="15" s="1"/>
  <c r="E63" i="15"/>
  <c r="C64" i="15"/>
  <c r="D64" i="15" s="1"/>
  <c r="E64" i="15"/>
  <c r="C65" i="15"/>
  <c r="D65" i="15" s="1"/>
  <c r="E65" i="15"/>
  <c r="C66" i="15"/>
  <c r="D66" i="15" s="1"/>
  <c r="E66" i="15"/>
  <c r="C67" i="15"/>
  <c r="D67" i="15" s="1"/>
  <c r="E67" i="15"/>
  <c r="C68" i="15"/>
  <c r="D68" i="15" s="1"/>
  <c r="E68" i="15"/>
  <c r="C69" i="15"/>
  <c r="D69" i="15" s="1"/>
  <c r="E69" i="15"/>
  <c r="C70" i="15"/>
  <c r="D70" i="15" s="1"/>
  <c r="E70" i="15"/>
  <c r="C71" i="15"/>
  <c r="D71" i="15" s="1"/>
  <c r="E71" i="15"/>
  <c r="C72" i="15"/>
  <c r="D72" i="15" s="1"/>
  <c r="E72" i="15"/>
  <c r="C73" i="15"/>
  <c r="D73" i="15" s="1"/>
  <c r="E73" i="15"/>
  <c r="C74" i="15"/>
  <c r="D74" i="15" s="1"/>
  <c r="E74" i="15"/>
  <c r="C75" i="15"/>
  <c r="D75" i="15" s="1"/>
  <c r="E75" i="15"/>
  <c r="C76" i="15"/>
  <c r="D76" i="15" s="1"/>
  <c r="E76" i="15"/>
  <c r="C77" i="15"/>
  <c r="D77" i="15" s="1"/>
  <c r="E77" i="15"/>
  <c r="C78" i="15"/>
  <c r="D78" i="15" s="1"/>
  <c r="E78" i="15"/>
  <c r="C79" i="15"/>
  <c r="D79" i="15" s="1"/>
  <c r="E79" i="15"/>
  <c r="C80" i="15"/>
  <c r="D80" i="15" s="1"/>
  <c r="E80" i="15"/>
  <c r="C81" i="15"/>
  <c r="D81" i="15" s="1"/>
  <c r="E81" i="15"/>
  <c r="C82" i="15"/>
  <c r="D82" i="15" s="1"/>
  <c r="E82" i="15"/>
  <c r="C83" i="15"/>
  <c r="D83" i="15" s="1"/>
  <c r="E83" i="15"/>
  <c r="C84" i="15"/>
  <c r="D84" i="15" s="1"/>
  <c r="E84" i="15"/>
  <c r="C85" i="15"/>
  <c r="D85" i="15" s="1"/>
  <c r="E85" i="15"/>
  <c r="C86" i="15"/>
  <c r="D86" i="15" s="1"/>
  <c r="E86" i="15"/>
  <c r="C87" i="15"/>
  <c r="D87" i="15" s="1"/>
  <c r="E87" i="15"/>
  <c r="C88" i="15"/>
  <c r="D88" i="15" s="1"/>
  <c r="E88" i="15"/>
  <c r="C89" i="15"/>
  <c r="D89" i="15" s="1"/>
  <c r="E89" i="15"/>
  <c r="C90" i="15"/>
  <c r="D90" i="15" s="1"/>
  <c r="E90" i="15"/>
  <c r="C91" i="15"/>
  <c r="D91" i="15" s="1"/>
  <c r="E91" i="15"/>
  <c r="C92" i="15"/>
  <c r="D92" i="15" s="1"/>
  <c r="E92" i="15"/>
  <c r="C93" i="15"/>
  <c r="D93" i="15" s="1"/>
  <c r="E93" i="15"/>
  <c r="C94" i="15"/>
  <c r="D94" i="15" s="1"/>
  <c r="E94" i="15"/>
  <c r="C95" i="15"/>
  <c r="D95" i="15" s="1"/>
  <c r="E95" i="15"/>
  <c r="C96" i="15"/>
  <c r="D96" i="15" s="1"/>
  <c r="E96" i="15"/>
  <c r="C97" i="15"/>
  <c r="D97" i="15" s="1"/>
  <c r="E97" i="15"/>
  <c r="C98" i="15"/>
  <c r="D98" i="15" s="1"/>
  <c r="E98" i="15"/>
  <c r="C99" i="15"/>
  <c r="D99" i="15" s="1"/>
  <c r="E99" i="15"/>
  <c r="C100" i="15"/>
  <c r="D100" i="15" s="1"/>
  <c r="E100" i="15"/>
  <c r="C101" i="15"/>
  <c r="D101" i="15" s="1"/>
  <c r="E101" i="15"/>
  <c r="C102" i="15"/>
  <c r="D102" i="15" s="1"/>
  <c r="E102" i="15"/>
  <c r="C103" i="15"/>
  <c r="D103" i="15" s="1"/>
  <c r="E103" i="15"/>
  <c r="C104" i="15"/>
  <c r="D104" i="15" s="1"/>
  <c r="E104" i="15"/>
  <c r="C105" i="15"/>
  <c r="D105" i="15" s="1"/>
  <c r="E105" i="15"/>
  <c r="C106" i="15"/>
  <c r="D106" i="15" s="1"/>
  <c r="E106" i="15"/>
  <c r="C107" i="15"/>
  <c r="D107" i="15" s="1"/>
  <c r="E107" i="15"/>
  <c r="C108" i="15"/>
  <c r="D108" i="15" s="1"/>
  <c r="E108" i="15"/>
  <c r="C109" i="15"/>
  <c r="D109" i="15" s="1"/>
  <c r="E109" i="15"/>
  <c r="C110" i="15"/>
  <c r="D110" i="15" s="1"/>
  <c r="E110" i="15"/>
  <c r="C111" i="15"/>
  <c r="D111" i="15" s="1"/>
  <c r="E111" i="15"/>
  <c r="C112" i="15"/>
  <c r="D112" i="15" s="1"/>
  <c r="E112" i="15"/>
  <c r="C113" i="15"/>
  <c r="D113" i="15" s="1"/>
  <c r="E113" i="15"/>
  <c r="C114" i="15"/>
  <c r="D114" i="15" s="1"/>
  <c r="E114" i="15"/>
  <c r="C115" i="15"/>
  <c r="D115" i="15" s="1"/>
  <c r="E115" i="15"/>
  <c r="C116" i="15"/>
  <c r="D116" i="15" s="1"/>
  <c r="E116" i="15"/>
  <c r="C117" i="15"/>
  <c r="D117" i="15" s="1"/>
  <c r="E117" i="15"/>
  <c r="C118" i="15"/>
  <c r="D118" i="15" s="1"/>
  <c r="E118" i="15"/>
  <c r="C119" i="15"/>
  <c r="D119" i="15" s="1"/>
  <c r="E119" i="15"/>
  <c r="C120" i="15"/>
  <c r="D120" i="15" s="1"/>
  <c r="E120" i="15"/>
  <c r="C121" i="15"/>
  <c r="D121" i="15" s="1"/>
  <c r="E121" i="15"/>
  <c r="C122" i="15"/>
  <c r="D122" i="15" s="1"/>
  <c r="E122" i="15"/>
  <c r="C123" i="15"/>
  <c r="D123" i="15" s="1"/>
  <c r="E123" i="15"/>
  <c r="C124" i="15"/>
  <c r="D124" i="15" s="1"/>
  <c r="E124" i="15"/>
  <c r="C125" i="15"/>
  <c r="D125" i="15" s="1"/>
  <c r="E125" i="15"/>
  <c r="C126" i="15"/>
  <c r="D126" i="15" s="1"/>
  <c r="E126" i="15"/>
  <c r="C127" i="15"/>
  <c r="D127" i="15" s="1"/>
  <c r="E127" i="15"/>
  <c r="C128" i="15"/>
  <c r="D128" i="15" s="1"/>
  <c r="E128" i="15"/>
  <c r="C129" i="15"/>
  <c r="D129" i="15" s="1"/>
  <c r="E129" i="15"/>
  <c r="C130" i="15"/>
  <c r="D130" i="15" s="1"/>
  <c r="E130" i="15"/>
  <c r="C131" i="15"/>
  <c r="D131" i="15" s="1"/>
  <c r="E131" i="15"/>
  <c r="C132" i="15"/>
  <c r="D132" i="15" s="1"/>
  <c r="E132" i="15"/>
  <c r="C133" i="15"/>
  <c r="D133" i="15" s="1"/>
  <c r="E133" i="15"/>
  <c r="C134" i="15"/>
  <c r="D134" i="15" s="1"/>
  <c r="E134" i="15"/>
  <c r="C135" i="15"/>
  <c r="D135" i="15" s="1"/>
  <c r="E135" i="15"/>
  <c r="C136" i="15"/>
  <c r="D136" i="15" s="1"/>
  <c r="E136" i="15"/>
  <c r="C137" i="15"/>
  <c r="D137" i="15" s="1"/>
  <c r="E137" i="15"/>
  <c r="B5" i="15" a="1"/>
  <c r="C42" i="15" s="1"/>
  <c r="D42" i="15" s="1"/>
  <c r="C4" i="2"/>
  <c r="C3"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C38" i="15" l="1"/>
  <c r="D38" i="15" s="1"/>
  <c r="C22" i="15"/>
  <c r="D22" i="15" s="1"/>
  <c r="C30" i="15"/>
  <c r="D30" i="15" s="1"/>
  <c r="C14" i="15"/>
  <c r="C6" i="15"/>
  <c r="E42" i="15"/>
  <c r="B5" i="15"/>
  <c r="C7" i="15"/>
  <c r="D7" i="15" s="1"/>
  <c r="C15" i="15"/>
  <c r="C23" i="15"/>
  <c r="C31" i="15"/>
  <c r="C39" i="15"/>
  <c r="D6" i="15"/>
  <c r="D14" i="15"/>
  <c r="C8" i="15"/>
  <c r="D8" i="15" s="1"/>
  <c r="C16" i="15"/>
  <c r="D16" i="15" s="1"/>
  <c r="C24" i="15"/>
  <c r="D24" i="15" s="1"/>
  <c r="C32" i="15"/>
  <c r="D32" i="15" s="1"/>
  <c r="C40" i="15"/>
  <c r="D40" i="15" s="1"/>
  <c r="C10" i="15"/>
  <c r="D10" i="15" s="1"/>
  <c r="C18" i="15"/>
  <c r="D18" i="15" s="1"/>
  <c r="C26" i="15"/>
  <c r="C34" i="15"/>
  <c r="D34" i="15" s="1"/>
  <c r="C12" i="15"/>
  <c r="D12" i="15" s="1"/>
  <c r="C20" i="15"/>
  <c r="D20" i="15" s="1"/>
  <c r="C28" i="15"/>
  <c r="D28" i="15" s="1"/>
  <c r="C13" i="15"/>
  <c r="D13" i="15" s="1"/>
  <c r="C21" i="15"/>
  <c r="D21" i="15" s="1"/>
  <c r="C37" i="15"/>
  <c r="D37" i="15" s="1"/>
  <c r="D15" i="15"/>
  <c r="D23" i="15"/>
  <c r="D31" i="15"/>
  <c r="D39" i="15"/>
  <c r="C9" i="15"/>
  <c r="D9" i="15" s="1"/>
  <c r="C17" i="15"/>
  <c r="C25" i="15"/>
  <c r="D25" i="15" s="1"/>
  <c r="C33" i="15"/>
  <c r="D33" i="15" s="1"/>
  <c r="C41" i="15"/>
  <c r="D41" i="15" s="1"/>
  <c r="D17" i="15"/>
  <c r="C11" i="15"/>
  <c r="D11" i="15" s="1"/>
  <c r="C19" i="15"/>
  <c r="C27" i="15"/>
  <c r="C35" i="15"/>
  <c r="D35" i="15" s="1"/>
  <c r="D26" i="15"/>
  <c r="C36" i="15"/>
  <c r="D36" i="15" s="1"/>
  <c r="C29" i="15"/>
  <c r="D29" i="15" s="1"/>
  <c r="D19" i="15"/>
  <c r="D27" i="15"/>
  <c r="F81" i="15"/>
  <c r="F77" i="15"/>
  <c r="F73" i="15"/>
  <c r="F69" i="15"/>
  <c r="F65" i="15"/>
  <c r="F61" i="15"/>
  <c r="F57" i="15"/>
  <c r="F53" i="15"/>
  <c r="F49" i="15"/>
  <c r="F45" i="15"/>
  <c r="F83" i="15"/>
  <c r="F79" i="15"/>
  <c r="F75" i="15"/>
  <c r="F71" i="15"/>
  <c r="F67" i="15"/>
  <c r="F63" i="15"/>
  <c r="F59" i="15"/>
  <c r="F55" i="15"/>
  <c r="F51" i="15"/>
  <c r="F47" i="15"/>
  <c r="F43" i="15"/>
  <c r="F42" i="15"/>
  <c r="F137" i="15"/>
  <c r="F133" i="15"/>
  <c r="F129" i="15"/>
  <c r="F125" i="15"/>
  <c r="F121" i="15"/>
  <c r="F117" i="15"/>
  <c r="F113" i="15"/>
  <c r="F109" i="15"/>
  <c r="F105" i="15"/>
  <c r="F101" i="15"/>
  <c r="F97" i="15"/>
  <c r="F93" i="15"/>
  <c r="F89" i="15"/>
  <c r="F85" i="15"/>
  <c r="F136" i="15"/>
  <c r="F132" i="15"/>
  <c r="F128" i="15"/>
  <c r="F124" i="15"/>
  <c r="F120" i="15"/>
  <c r="F116" i="15"/>
  <c r="F112" i="15"/>
  <c r="F108" i="15"/>
  <c r="F104" i="15"/>
  <c r="F100" i="15"/>
  <c r="F96" i="15"/>
  <c r="F92" i="15"/>
  <c r="F88" i="15"/>
  <c r="F84" i="15"/>
  <c r="F80" i="15"/>
  <c r="F76" i="15"/>
  <c r="F72" i="15"/>
  <c r="F68" i="15"/>
  <c r="F64" i="15"/>
  <c r="F60" i="15"/>
  <c r="F56" i="15"/>
  <c r="F52" i="15"/>
  <c r="F48" i="15"/>
  <c r="F44" i="15"/>
  <c r="F135" i="15"/>
  <c r="F131" i="15"/>
  <c r="F127" i="15"/>
  <c r="F123" i="15"/>
  <c r="F119" i="15"/>
  <c r="F115" i="15"/>
  <c r="F111" i="15"/>
  <c r="F107" i="15"/>
  <c r="F103" i="15"/>
  <c r="F99" i="15"/>
  <c r="F95" i="15"/>
  <c r="F91" i="15"/>
  <c r="F87" i="15"/>
  <c r="F134" i="15"/>
  <c r="F130" i="15"/>
  <c r="F126" i="15"/>
  <c r="F122" i="15"/>
  <c r="F118" i="15"/>
  <c r="F114" i="15"/>
  <c r="F110" i="15"/>
  <c r="F106" i="15"/>
  <c r="F102" i="15"/>
  <c r="F98" i="15"/>
  <c r="F94" i="15"/>
  <c r="F90" i="15"/>
  <c r="F86" i="15"/>
  <c r="F82" i="15"/>
  <c r="F78" i="15"/>
  <c r="F74" i="15"/>
  <c r="F70" i="15"/>
  <c r="F66" i="15"/>
  <c r="F62" i="15"/>
  <c r="F58" i="15"/>
  <c r="F54" i="15"/>
  <c r="F50" i="15"/>
  <c r="F46" i="15"/>
  <c r="F11" i="6"/>
  <c r="E13" i="15" s="1"/>
  <c r="F12" i="6"/>
  <c r="E20" i="15" s="1"/>
  <c r="F20" i="15" s="1"/>
  <c r="F13" i="6"/>
  <c r="F14" i="6"/>
  <c r="F15" i="6"/>
  <c r="F16" i="6"/>
  <c r="F17" i="6"/>
  <c r="F18" i="6"/>
  <c r="F19" i="6"/>
  <c r="F20" i="6"/>
  <c r="F21" i="6"/>
  <c r="F22" i="6"/>
  <c r="F23" i="6"/>
  <c r="F24" i="6"/>
  <c r="E29" i="15" s="1"/>
  <c r="F25" i="6"/>
  <c r="E23" i="15" s="1"/>
  <c r="F26" i="6"/>
  <c r="J32" i="6"/>
  <c r="K32" i="6"/>
  <c r="F27" i="6"/>
  <c r="F28" i="6"/>
  <c r="F29" i="6"/>
  <c r="E33" i="15" s="1"/>
  <c r="F30" i="6"/>
  <c r="F31" i="6"/>
  <c r="F32" i="6"/>
  <c r="F33" i="6"/>
  <c r="F34" i="6"/>
  <c r="F35" i="6"/>
  <c r="F36" i="6"/>
  <c r="F37" i="6"/>
  <c r="F38" i="6"/>
  <c r="F39" i="6"/>
  <c r="F40" i="6"/>
  <c r="F41" i="6"/>
  <c r="F42" i="6"/>
  <c r="F43" i="6"/>
  <c r="F44" i="6"/>
  <c r="F45" i="6"/>
  <c r="F46" i="6"/>
  <c r="F47" i="6"/>
  <c r="F48" i="6"/>
  <c r="J10" i="6"/>
  <c r="K10" i="6"/>
  <c r="J11" i="6"/>
  <c r="K11" i="6"/>
  <c r="J12" i="6"/>
  <c r="K12" i="6"/>
  <c r="J13" i="6"/>
  <c r="K13" i="6"/>
  <c r="J14" i="6"/>
  <c r="K14" i="6"/>
  <c r="J15" i="6"/>
  <c r="K15" i="6"/>
  <c r="J16" i="6"/>
  <c r="K16" i="6"/>
  <c r="J17" i="6"/>
  <c r="K17" i="6"/>
  <c r="J18" i="6"/>
  <c r="K18" i="6"/>
  <c r="J19" i="6"/>
  <c r="K19" i="6"/>
  <c r="J20" i="6"/>
  <c r="K20" i="6"/>
  <c r="J21" i="6"/>
  <c r="K21" i="6"/>
  <c r="J22" i="6"/>
  <c r="K22" i="6"/>
  <c r="J23" i="6"/>
  <c r="K23" i="6"/>
  <c r="J24" i="6"/>
  <c r="K24" i="6"/>
  <c r="J25" i="6"/>
  <c r="K25" i="6"/>
  <c r="J26" i="6"/>
  <c r="K26" i="6"/>
  <c r="J27" i="6"/>
  <c r="K27" i="6"/>
  <c r="J28" i="6"/>
  <c r="K28" i="6"/>
  <c r="J29" i="6"/>
  <c r="K29" i="6"/>
  <c r="J30" i="6"/>
  <c r="K30" i="6"/>
  <c r="J31" i="6"/>
  <c r="K31" i="6"/>
  <c r="J33" i="6"/>
  <c r="K33" i="6"/>
  <c r="J34" i="6"/>
  <c r="K34" i="6"/>
  <c r="J35" i="6"/>
  <c r="K35" i="6"/>
  <c r="J36" i="6"/>
  <c r="K36" i="6"/>
  <c r="J37" i="6"/>
  <c r="K37" i="6"/>
  <c r="J38" i="6"/>
  <c r="K38" i="6"/>
  <c r="J39" i="6"/>
  <c r="K39" i="6"/>
  <c r="J40" i="6"/>
  <c r="K40" i="6"/>
  <c r="J41" i="6"/>
  <c r="K41" i="6"/>
  <c r="J42" i="6"/>
  <c r="K42" i="6"/>
  <c r="J43" i="6"/>
  <c r="K43" i="6"/>
  <c r="J44" i="6"/>
  <c r="K44" i="6"/>
  <c r="J45" i="6"/>
  <c r="K45" i="6"/>
  <c r="J46" i="6"/>
  <c r="K46" i="6"/>
  <c r="J47" i="6"/>
  <c r="K47" i="6"/>
  <c r="J48" i="6"/>
  <c r="K48" i="6"/>
  <c r="J49" i="6"/>
  <c r="K49" i="6"/>
  <c r="J50" i="6"/>
  <c r="K50" i="6"/>
  <c r="J51" i="6"/>
  <c r="K51" i="6"/>
  <c r="J52" i="6"/>
  <c r="K52" i="6"/>
  <c r="J53" i="6"/>
  <c r="K53" i="6"/>
  <c r="J54" i="6"/>
  <c r="K54" i="6"/>
  <c r="J55" i="6"/>
  <c r="K55" i="6"/>
  <c r="J56" i="6"/>
  <c r="K56" i="6"/>
  <c r="J57" i="6"/>
  <c r="K57" i="6"/>
  <c r="J58" i="6"/>
  <c r="K58" i="6"/>
  <c r="K9" i="6"/>
  <c r="J9" i="6"/>
  <c r="F49" i="6"/>
  <c r="F50" i="6"/>
  <c r="F51" i="6"/>
  <c r="F52" i="6"/>
  <c r="F53" i="6"/>
  <c r="F54" i="6"/>
  <c r="F55" i="6"/>
  <c r="F56" i="6"/>
  <c r="F57" i="6"/>
  <c r="F58" i="6"/>
  <c r="F59" i="6"/>
  <c r="F60" i="6"/>
  <c r="F61" i="6"/>
  <c r="F62" i="6"/>
  <c r="F63" i="6"/>
  <c r="F64" i="6"/>
  <c r="F65" i="6"/>
  <c r="F66" i="6"/>
  <c r="F67" i="6"/>
  <c r="E17" i="15" s="1"/>
  <c r="F68" i="6"/>
  <c r="E19" i="15" s="1"/>
  <c r="F19" i="15" s="1"/>
  <c r="F69" i="6"/>
  <c r="F70" i="6"/>
  <c r="F71" i="6"/>
  <c r="F72" i="6"/>
  <c r="E38" i="15" s="1"/>
  <c r="F73" i="6"/>
  <c r="F74" i="6"/>
  <c r="F75" i="6"/>
  <c r="F76" i="6"/>
  <c r="E22" i="15" s="1"/>
  <c r="F77" i="6"/>
  <c r="F78" i="6"/>
  <c r="E31" i="15" s="1"/>
  <c r="F79" i="6"/>
  <c r="F80" i="6"/>
  <c r="F81" i="6"/>
  <c r="F82" i="6"/>
  <c r="F83" i="6"/>
  <c r="F84" i="6"/>
  <c r="F85" i="6"/>
  <c r="F86" i="6"/>
  <c r="F87" i="6"/>
  <c r="E7" i="15" s="1"/>
  <c r="F88" i="6"/>
  <c r="E14" i="15" s="1"/>
  <c r="F14" i="15" s="1"/>
  <c r="F89" i="6"/>
  <c r="E26" i="15" s="1"/>
  <c r="F90" i="6"/>
  <c r="E40" i="15" s="1"/>
  <c r="F91" i="6"/>
  <c r="F92" i="6"/>
  <c r="E27" i="15" s="1"/>
  <c r="F93" i="6"/>
  <c r="F94" i="6"/>
  <c r="F95" i="6"/>
  <c r="F96" i="6"/>
  <c r="F97" i="6"/>
  <c r="F98" i="6"/>
  <c r="F99" i="6"/>
  <c r="F100" i="6"/>
  <c r="F101" i="6"/>
  <c r="F102" i="6"/>
  <c r="F103" i="6"/>
  <c r="C5" i="6"/>
  <c r="D3" i="13"/>
  <c r="A11" i="13"/>
  <c r="A12" i="13"/>
  <c r="A13" i="13"/>
  <c r="A14" i="13"/>
  <c r="A15" i="13"/>
  <c r="A16" i="13"/>
  <c r="A10" i="13"/>
  <c r="A4" i="13"/>
  <c r="A5" i="13"/>
  <c r="A6" i="13"/>
  <c r="A7" i="13"/>
  <c r="A8" i="13"/>
  <c r="A3" i="13"/>
  <c r="E80" i="9" a="1"/>
  <c r="E80" i="9" s="1"/>
  <c r="F80" i="9" a="1"/>
  <c r="F80" i="9" s="1"/>
  <c r="G80" i="9" a="1"/>
  <c r="G80" i="9" s="1"/>
  <c r="H80" i="9" a="1"/>
  <c r="H80" i="9" s="1"/>
  <c r="I80" i="9" a="1"/>
  <c r="I80" i="9" s="1"/>
  <c r="J80" i="9" a="1"/>
  <c r="J80" i="9" s="1"/>
  <c r="K80" i="9" a="1"/>
  <c r="K80" i="9" s="1"/>
  <c r="L80" i="9" a="1"/>
  <c r="L80" i="9" s="1"/>
  <c r="M80" i="9" a="1"/>
  <c r="M80" i="9" s="1"/>
  <c r="N80" i="9" a="1"/>
  <c r="N80" i="9" s="1"/>
  <c r="O80" i="9" a="1"/>
  <c r="O80" i="9" s="1"/>
  <c r="P80" i="9" a="1"/>
  <c r="P80" i="9" s="1"/>
  <c r="Q80" i="9" a="1"/>
  <c r="Q80" i="9" s="1"/>
  <c r="R80" i="9" a="1"/>
  <c r="R80" i="9" s="1"/>
  <c r="S80" i="9" a="1"/>
  <c r="S80" i="9" s="1"/>
  <c r="T80" i="9" a="1"/>
  <c r="T80" i="9" s="1"/>
  <c r="U80" i="9" a="1"/>
  <c r="U80" i="9" s="1"/>
  <c r="V80" i="9" a="1"/>
  <c r="V80" i="9" s="1"/>
  <c r="W80" i="9" a="1"/>
  <c r="W80" i="9" s="1"/>
  <c r="X80" i="9" a="1"/>
  <c r="X80" i="9" s="1"/>
  <c r="Y80" i="9" a="1"/>
  <c r="Y80" i="9" s="1"/>
  <c r="E78" i="9" a="1"/>
  <c r="E78" i="9" s="1"/>
  <c r="F78" i="9" a="1"/>
  <c r="F78" i="9" s="1"/>
  <c r="G78" i="9" a="1"/>
  <c r="G78" i="9" s="1"/>
  <c r="H78" i="9" a="1"/>
  <c r="H78" i="9" s="1"/>
  <c r="I78" i="9" a="1"/>
  <c r="I78" i="9" s="1"/>
  <c r="J78" i="9" a="1"/>
  <c r="J78" i="9" s="1"/>
  <c r="K78" i="9" a="1"/>
  <c r="K78" i="9" s="1"/>
  <c r="L78" i="9" a="1"/>
  <c r="L78" i="9" s="1"/>
  <c r="M78" i="9" a="1"/>
  <c r="M78" i="9" s="1"/>
  <c r="N78" i="9" a="1"/>
  <c r="N78" i="9" s="1"/>
  <c r="O78" i="9" a="1"/>
  <c r="O78" i="9" s="1"/>
  <c r="P78" i="9" a="1"/>
  <c r="P78" i="9" s="1"/>
  <c r="Q78" i="9" a="1"/>
  <c r="Q78" i="9" s="1"/>
  <c r="R78" i="9" a="1"/>
  <c r="R78" i="9" s="1"/>
  <c r="S78" i="9" a="1"/>
  <c r="S78" i="9" s="1"/>
  <c r="T78" i="9" a="1"/>
  <c r="T78" i="9" s="1"/>
  <c r="U78" i="9" a="1"/>
  <c r="U78" i="9" s="1"/>
  <c r="V78" i="9" a="1"/>
  <c r="V78" i="9" s="1"/>
  <c r="W78" i="9" a="1"/>
  <c r="W78" i="9" s="1"/>
  <c r="X78" i="9" a="1"/>
  <c r="X78" i="9" s="1"/>
  <c r="Y78" i="9" a="1"/>
  <c r="Y78" i="9" s="1"/>
  <c r="E79" i="9" a="1"/>
  <c r="E79" i="9" s="1"/>
  <c r="F79" i="9" a="1"/>
  <c r="F79" i="9" s="1"/>
  <c r="G79" i="9" a="1"/>
  <c r="G79" i="9" s="1"/>
  <c r="H79" i="9" a="1"/>
  <c r="H79" i="9" s="1"/>
  <c r="I79" i="9" a="1"/>
  <c r="I79" i="9" s="1"/>
  <c r="J79" i="9" a="1"/>
  <c r="J79" i="9" s="1"/>
  <c r="K79" i="9" a="1"/>
  <c r="K79" i="9" s="1"/>
  <c r="L79" i="9" a="1"/>
  <c r="L79" i="9" s="1"/>
  <c r="M79" i="9" a="1"/>
  <c r="M79" i="9" s="1"/>
  <c r="N79" i="9" a="1"/>
  <c r="N79" i="9" s="1"/>
  <c r="O79" i="9" a="1"/>
  <c r="O79" i="9" s="1"/>
  <c r="P79" i="9" a="1"/>
  <c r="P79" i="9" s="1"/>
  <c r="Q79" i="9" a="1"/>
  <c r="Q79" i="9" s="1"/>
  <c r="R79" i="9" a="1"/>
  <c r="R79" i="9" s="1"/>
  <c r="S79" i="9" a="1"/>
  <c r="S79" i="9" s="1"/>
  <c r="T79" i="9" a="1"/>
  <c r="T79" i="9" s="1"/>
  <c r="U79" i="9" a="1"/>
  <c r="U79" i="9" s="1"/>
  <c r="V79" i="9" a="1"/>
  <c r="V79" i="9" s="1"/>
  <c r="W79" i="9" a="1"/>
  <c r="W79" i="9" s="1"/>
  <c r="X79" i="9" a="1"/>
  <c r="X79" i="9" s="1"/>
  <c r="Y79" i="9" a="1"/>
  <c r="Y79" i="9" s="1"/>
  <c r="E81" i="9" a="1"/>
  <c r="E81" i="9" s="1"/>
  <c r="F81" i="9" a="1"/>
  <c r="F81" i="9" s="1"/>
  <c r="G81" i="9" a="1"/>
  <c r="G81" i="9" s="1"/>
  <c r="H81" i="9" a="1"/>
  <c r="H81" i="9" s="1"/>
  <c r="I81" i="9" a="1"/>
  <c r="I81" i="9" s="1"/>
  <c r="J81" i="9" a="1"/>
  <c r="J81" i="9" s="1"/>
  <c r="K81" i="9" a="1"/>
  <c r="K81" i="9" s="1"/>
  <c r="L81" i="9" a="1"/>
  <c r="L81" i="9" s="1"/>
  <c r="M81" i="9" a="1"/>
  <c r="M81" i="9" s="1"/>
  <c r="N81" i="9" a="1"/>
  <c r="N81" i="9" s="1"/>
  <c r="O81" i="9" a="1"/>
  <c r="O81" i="9" s="1"/>
  <c r="P81" i="9" a="1"/>
  <c r="P81" i="9" s="1"/>
  <c r="Q81" i="9" a="1"/>
  <c r="Q81" i="9" s="1"/>
  <c r="R81" i="9" a="1"/>
  <c r="R81" i="9" s="1"/>
  <c r="S81" i="9" a="1"/>
  <c r="S81" i="9" s="1"/>
  <c r="T81" i="9" a="1"/>
  <c r="T81" i="9" s="1"/>
  <c r="U81" i="9" a="1"/>
  <c r="U81" i="9" s="1"/>
  <c r="V81" i="9" a="1"/>
  <c r="V81" i="9" s="1"/>
  <c r="W81" i="9" a="1"/>
  <c r="W81" i="9" s="1"/>
  <c r="X81" i="9" a="1"/>
  <c r="X81" i="9" s="1"/>
  <c r="Y81" i="9" a="1"/>
  <c r="Y81" i="9" s="1"/>
  <c r="E22" i="9" a="1"/>
  <c r="E22" i="9" s="1"/>
  <c r="F22" i="9" a="1"/>
  <c r="F22" i="9" s="1"/>
  <c r="G22" i="9" a="1"/>
  <c r="G22" i="9" s="1"/>
  <c r="H22" i="9" a="1"/>
  <c r="H22" i="9" s="1"/>
  <c r="I22" i="9" a="1"/>
  <c r="I22" i="9" s="1"/>
  <c r="J22" i="9" a="1"/>
  <c r="J22" i="9" s="1"/>
  <c r="K22" i="9" a="1"/>
  <c r="K22" i="9" s="1"/>
  <c r="L22" i="9" a="1"/>
  <c r="L22" i="9" s="1"/>
  <c r="M22" i="9" a="1"/>
  <c r="M22" i="9" s="1"/>
  <c r="N22" i="9" a="1"/>
  <c r="N22" i="9" s="1"/>
  <c r="O22" i="9" a="1"/>
  <c r="O22" i="9" s="1"/>
  <c r="P22" i="9" a="1"/>
  <c r="P22" i="9" s="1"/>
  <c r="Q22" i="9" a="1"/>
  <c r="Q22" i="9" s="1"/>
  <c r="R22" i="9" a="1"/>
  <c r="R22" i="9" s="1"/>
  <c r="S22" i="9" a="1"/>
  <c r="S22" i="9" s="1"/>
  <c r="T22" i="9" a="1"/>
  <c r="T22" i="9" s="1"/>
  <c r="U22" i="9" a="1"/>
  <c r="U22" i="9" s="1"/>
  <c r="V22" i="9" a="1"/>
  <c r="V22" i="9" s="1"/>
  <c r="W22" i="9" a="1"/>
  <c r="W22" i="9" s="1"/>
  <c r="X22" i="9" a="1"/>
  <c r="X22" i="9" s="1"/>
  <c r="Y22" i="9" a="1"/>
  <c r="Y22" i="9" s="1"/>
  <c r="E23" i="9" a="1"/>
  <c r="E23" i="9" s="1"/>
  <c r="F23" i="9" a="1"/>
  <c r="F23" i="9" s="1"/>
  <c r="G23" i="9" a="1"/>
  <c r="G23" i="9" s="1"/>
  <c r="H23" i="9" a="1"/>
  <c r="H23" i="9" s="1"/>
  <c r="I23" i="9" a="1"/>
  <c r="I23" i="9" s="1"/>
  <c r="J23" i="9" a="1"/>
  <c r="J23" i="9" s="1"/>
  <c r="K23" i="9" a="1"/>
  <c r="K23" i="9" s="1"/>
  <c r="L23" i="9" a="1"/>
  <c r="L23" i="9" s="1"/>
  <c r="M23" i="9" a="1"/>
  <c r="M23" i="9" s="1"/>
  <c r="N23" i="9" a="1"/>
  <c r="N23" i="9" s="1"/>
  <c r="O23" i="9" a="1"/>
  <c r="O23" i="9" s="1"/>
  <c r="P23" i="9" a="1"/>
  <c r="P23" i="9" s="1"/>
  <c r="Q23" i="9" a="1"/>
  <c r="Q23" i="9" s="1"/>
  <c r="R23" i="9" a="1"/>
  <c r="R23" i="9" s="1"/>
  <c r="S23" i="9" a="1"/>
  <c r="S23" i="9" s="1"/>
  <c r="T23" i="9" a="1"/>
  <c r="T23" i="9" s="1"/>
  <c r="U23" i="9" a="1"/>
  <c r="U23" i="9" s="1"/>
  <c r="V23" i="9" a="1"/>
  <c r="V23" i="9" s="1"/>
  <c r="W23" i="9" a="1"/>
  <c r="W23" i="9" s="1"/>
  <c r="X23" i="9" a="1"/>
  <c r="X23" i="9" s="1"/>
  <c r="Y23" i="9" a="1"/>
  <c r="Y23" i="9" s="1"/>
  <c r="E128" i="9" a="1"/>
  <c r="E128" i="9" s="1"/>
  <c r="F128" i="9" a="1"/>
  <c r="F128" i="9" s="1"/>
  <c r="G128" i="9" a="1"/>
  <c r="G128" i="9" s="1"/>
  <c r="H128" i="9" a="1"/>
  <c r="H128" i="9" s="1"/>
  <c r="I128" i="9" a="1"/>
  <c r="I128" i="9" s="1"/>
  <c r="J128" i="9" a="1"/>
  <c r="J128" i="9" s="1"/>
  <c r="K128" i="9" a="1"/>
  <c r="K128" i="9" s="1"/>
  <c r="L128" i="9" a="1"/>
  <c r="L128" i="9" s="1"/>
  <c r="M128" i="9" a="1"/>
  <c r="M128" i="9" s="1"/>
  <c r="N128" i="9" a="1"/>
  <c r="N128" i="9" s="1"/>
  <c r="O128" i="9" a="1"/>
  <c r="O128" i="9" s="1"/>
  <c r="P128" i="9" a="1"/>
  <c r="P128" i="9" s="1"/>
  <c r="Q128" i="9" a="1"/>
  <c r="Q128" i="9" s="1"/>
  <c r="R128" i="9" a="1"/>
  <c r="R128" i="9" s="1"/>
  <c r="S128" i="9" a="1"/>
  <c r="S128" i="9" s="1"/>
  <c r="T128" i="9" a="1"/>
  <c r="T128" i="9" s="1"/>
  <c r="U128" i="9" a="1"/>
  <c r="U128" i="9" s="1"/>
  <c r="V128" i="9" a="1"/>
  <c r="V128" i="9" s="1"/>
  <c r="W128" i="9" a="1"/>
  <c r="W128" i="9" s="1"/>
  <c r="X128" i="9" a="1"/>
  <c r="X128" i="9" s="1"/>
  <c r="Y128" i="9" a="1"/>
  <c r="Y128" i="9" s="1"/>
  <c r="C128" i="9"/>
  <c r="C22" i="9"/>
  <c r="C23" i="9"/>
  <c r="C24" i="9"/>
  <c r="C25" i="9"/>
  <c r="C26" i="9"/>
  <c r="C27" i="9"/>
  <c r="C30" i="9"/>
  <c r="C31" i="9"/>
  <c r="C32" i="9"/>
  <c r="C33" i="9"/>
  <c r="C34" i="9"/>
  <c r="C35" i="9"/>
  <c r="C36" i="9"/>
  <c r="C37" i="9"/>
  <c r="C38" i="9"/>
  <c r="C39" i="9"/>
  <c r="C40" i="9"/>
  <c r="C45" i="9"/>
  <c r="C46" i="9"/>
  <c r="C47" i="9"/>
  <c r="C48" i="9"/>
  <c r="C49" i="9"/>
  <c r="C50" i="9"/>
  <c r="C51" i="9"/>
  <c r="C52" i="9"/>
  <c r="C54" i="9"/>
  <c r="C55" i="9"/>
  <c r="C56" i="9"/>
  <c r="C57" i="9"/>
  <c r="C58" i="9"/>
  <c r="C59" i="9"/>
  <c r="C60" i="9"/>
  <c r="C61" i="9"/>
  <c r="C62" i="9"/>
  <c r="C63" i="9"/>
  <c r="C64" i="9"/>
  <c r="C65" i="9"/>
  <c r="C66" i="9"/>
  <c r="C67" i="9"/>
  <c r="C68" i="9"/>
  <c r="C69" i="9"/>
  <c r="C70" i="9"/>
  <c r="C71" i="9"/>
  <c r="C72" i="9"/>
  <c r="C73" i="9"/>
  <c r="C74" i="9"/>
  <c r="C75" i="9"/>
  <c r="C76" i="9"/>
  <c r="C77" i="9"/>
  <c r="C80" i="9"/>
  <c r="C78" i="9"/>
  <c r="C79" i="9"/>
  <c r="C81" i="9"/>
  <c r="E10" i="9" a="1"/>
  <c r="E10" i="9" s="1"/>
  <c r="F10" i="9" a="1"/>
  <c r="F10" i="9" s="1"/>
  <c r="E11" i="9" a="1"/>
  <c r="E11" i="9" s="1"/>
  <c r="F11" i="9" a="1"/>
  <c r="F11" i="9" s="1"/>
  <c r="E12" i="9" a="1"/>
  <c r="E12" i="9" s="1"/>
  <c r="F12" i="9" a="1"/>
  <c r="F12" i="9" s="1"/>
  <c r="E13" i="9" a="1"/>
  <c r="E13" i="9" s="1"/>
  <c r="F13" i="9" a="1"/>
  <c r="F13" i="9" s="1"/>
  <c r="E14" i="9" a="1"/>
  <c r="E14" i="9" s="1"/>
  <c r="F14" i="9" a="1"/>
  <c r="F14" i="9" s="1"/>
  <c r="E15" i="9" a="1"/>
  <c r="E15" i="9" s="1"/>
  <c r="F15" i="9" a="1"/>
  <c r="F15" i="9" s="1"/>
  <c r="E16" i="9" a="1"/>
  <c r="E16" i="9" s="1"/>
  <c r="F16" i="9" a="1"/>
  <c r="F16" i="9" s="1"/>
  <c r="E17" i="9" a="1"/>
  <c r="E17" i="9" s="1"/>
  <c r="F17" i="9" a="1"/>
  <c r="F17" i="9" s="1"/>
  <c r="E18" i="9" a="1"/>
  <c r="E18" i="9" s="1"/>
  <c r="F18" i="9" a="1"/>
  <c r="F18" i="9" s="1"/>
  <c r="E19" i="9" a="1"/>
  <c r="E19" i="9" s="1"/>
  <c r="F19" i="9" a="1"/>
  <c r="F19" i="9" s="1"/>
  <c r="E20" i="9" a="1"/>
  <c r="E20" i="9" s="1"/>
  <c r="F20" i="9" a="1"/>
  <c r="F20" i="9" s="1"/>
  <c r="E21" i="9" a="1"/>
  <c r="E21" i="9" s="1"/>
  <c r="F21" i="9" a="1"/>
  <c r="F21" i="9" s="1"/>
  <c r="E24" i="9" a="1"/>
  <c r="E24" i="9" s="1"/>
  <c r="F24" i="9" a="1"/>
  <c r="F24" i="9" s="1"/>
  <c r="E25" i="9" a="1"/>
  <c r="E25" i="9" s="1"/>
  <c r="F25" i="9" a="1"/>
  <c r="F25" i="9" s="1"/>
  <c r="E26" i="9" a="1"/>
  <c r="E26" i="9" s="1"/>
  <c r="F26" i="9" a="1"/>
  <c r="F26" i="9" s="1"/>
  <c r="E27" i="9" a="1"/>
  <c r="E27" i="9" s="1"/>
  <c r="F27" i="9" a="1"/>
  <c r="F27" i="9" s="1"/>
  <c r="E30" i="9" a="1"/>
  <c r="E30" i="9" s="1"/>
  <c r="F30" i="9" a="1"/>
  <c r="F30" i="9" s="1"/>
  <c r="E31" i="9" a="1"/>
  <c r="E31" i="9" s="1"/>
  <c r="F31" i="9" a="1"/>
  <c r="F31" i="9" s="1"/>
  <c r="E32" i="9" a="1"/>
  <c r="E32" i="9" s="1"/>
  <c r="F32" i="9" a="1"/>
  <c r="F32" i="9" s="1"/>
  <c r="E33" i="9" a="1"/>
  <c r="E33" i="9" s="1"/>
  <c r="F33" i="9" a="1"/>
  <c r="F33" i="9" s="1"/>
  <c r="E34" i="9" a="1"/>
  <c r="E34" i="9" s="1"/>
  <c r="F34" i="9" a="1"/>
  <c r="F34" i="9" s="1"/>
  <c r="E35" i="9" a="1"/>
  <c r="E35" i="9" s="1"/>
  <c r="F35" i="9" a="1"/>
  <c r="F35" i="9" s="1"/>
  <c r="E36" i="9" a="1"/>
  <c r="E36" i="9" s="1"/>
  <c r="F36" i="9" a="1"/>
  <c r="F36" i="9" s="1"/>
  <c r="E37" i="9" a="1"/>
  <c r="E37" i="9" s="1"/>
  <c r="F37" i="9" a="1"/>
  <c r="F37" i="9" s="1"/>
  <c r="E38" i="9" a="1"/>
  <c r="E38" i="9" s="1"/>
  <c r="F38" i="9" a="1"/>
  <c r="F38" i="9" s="1"/>
  <c r="E39" i="9" a="1"/>
  <c r="E39" i="9" s="1"/>
  <c r="F39" i="9" a="1"/>
  <c r="F39" i="9" s="1"/>
  <c r="E40" i="9" a="1"/>
  <c r="E40" i="9" s="1"/>
  <c r="F40" i="9" a="1"/>
  <c r="F40" i="9" s="1"/>
  <c r="E45" i="9" a="1"/>
  <c r="E45" i="9" s="1"/>
  <c r="F45" i="9" a="1"/>
  <c r="F45" i="9" s="1"/>
  <c r="E46" i="9" a="1"/>
  <c r="E46" i="9" s="1"/>
  <c r="F46" i="9" a="1"/>
  <c r="F46" i="9" s="1"/>
  <c r="E47" i="9" a="1"/>
  <c r="E47" i="9" s="1"/>
  <c r="F47" i="9" a="1"/>
  <c r="F47" i="9" s="1"/>
  <c r="E48" i="9" a="1"/>
  <c r="E48" i="9" s="1"/>
  <c r="F48" i="9" a="1"/>
  <c r="F48" i="9" s="1"/>
  <c r="E49" i="9" a="1"/>
  <c r="E49" i="9" s="1"/>
  <c r="F49" i="9" a="1"/>
  <c r="F49" i="9" s="1"/>
  <c r="E50" i="9" a="1"/>
  <c r="E50" i="9" s="1"/>
  <c r="F50" i="9" a="1"/>
  <c r="F50" i="9" s="1"/>
  <c r="E51" i="9" a="1"/>
  <c r="E51" i="9" s="1"/>
  <c r="F51" i="9" a="1"/>
  <c r="F51" i="9" s="1"/>
  <c r="E52" i="9" a="1"/>
  <c r="E52" i="9" s="1"/>
  <c r="F52" i="9" a="1"/>
  <c r="F52" i="9" s="1"/>
  <c r="E54" i="9" a="1"/>
  <c r="E54" i="9" s="1"/>
  <c r="F54" i="9" a="1"/>
  <c r="F54" i="9" s="1"/>
  <c r="E55" i="9" a="1"/>
  <c r="E55" i="9" s="1"/>
  <c r="F55" i="9" a="1"/>
  <c r="F55" i="9" s="1"/>
  <c r="E56" i="9" a="1"/>
  <c r="E56" i="9" s="1"/>
  <c r="F56" i="9" a="1"/>
  <c r="F56" i="9" s="1"/>
  <c r="E57" i="9" a="1"/>
  <c r="E57" i="9" s="1"/>
  <c r="F57" i="9" a="1"/>
  <c r="F57" i="9" s="1"/>
  <c r="E58" i="9" a="1"/>
  <c r="E58" i="9" s="1"/>
  <c r="F58" i="9" a="1"/>
  <c r="F58" i="9" s="1"/>
  <c r="E59" i="9" a="1"/>
  <c r="E59" i="9" s="1"/>
  <c r="F59" i="9" a="1"/>
  <c r="F59" i="9" s="1"/>
  <c r="E60" i="9" a="1"/>
  <c r="E60" i="9" s="1"/>
  <c r="F60" i="9" a="1"/>
  <c r="F60" i="9" s="1"/>
  <c r="E61" i="9" a="1"/>
  <c r="E61" i="9" s="1"/>
  <c r="F61" i="9" a="1"/>
  <c r="F61" i="9" s="1"/>
  <c r="E62" i="9" a="1"/>
  <c r="E62" i="9" s="1"/>
  <c r="F62" i="9" a="1"/>
  <c r="F62" i="9" s="1"/>
  <c r="E63" i="9" a="1"/>
  <c r="E63" i="9" s="1"/>
  <c r="F63" i="9" a="1"/>
  <c r="F63" i="9" s="1"/>
  <c r="E64" i="9" a="1"/>
  <c r="E64" i="9" s="1"/>
  <c r="F64" i="9" a="1"/>
  <c r="F64" i="9" s="1"/>
  <c r="E65" i="9" a="1"/>
  <c r="E65" i="9" s="1"/>
  <c r="F65" i="9" a="1"/>
  <c r="F65" i="9" s="1"/>
  <c r="E66" i="9" a="1"/>
  <c r="E66" i="9" s="1"/>
  <c r="F66" i="9" a="1"/>
  <c r="F66" i="9" s="1"/>
  <c r="E67" i="9" a="1"/>
  <c r="E67" i="9" s="1"/>
  <c r="F67" i="9" a="1"/>
  <c r="F67" i="9" s="1"/>
  <c r="E68" i="9" a="1"/>
  <c r="E68" i="9" s="1"/>
  <c r="F68" i="9" a="1"/>
  <c r="F68" i="9" s="1"/>
  <c r="E69" i="9" a="1"/>
  <c r="E69" i="9" s="1"/>
  <c r="F69" i="9" a="1"/>
  <c r="F69" i="9" s="1"/>
  <c r="E70" i="9" a="1"/>
  <c r="E70" i="9" s="1"/>
  <c r="F70" i="9" a="1"/>
  <c r="F70" i="9" s="1"/>
  <c r="E71" i="9" a="1"/>
  <c r="E71" i="9" s="1"/>
  <c r="F71" i="9" a="1"/>
  <c r="F71" i="9" s="1"/>
  <c r="E72" i="9" a="1"/>
  <c r="E72" i="9" s="1"/>
  <c r="F72" i="9" a="1"/>
  <c r="F72" i="9" s="1"/>
  <c r="E73" i="9" a="1"/>
  <c r="E73" i="9" s="1"/>
  <c r="F73" i="9" a="1"/>
  <c r="F73" i="9" s="1"/>
  <c r="E74" i="9" a="1"/>
  <c r="E74" i="9" s="1"/>
  <c r="F74" i="9" a="1"/>
  <c r="F74" i="9" s="1"/>
  <c r="E75" i="9" a="1"/>
  <c r="E75" i="9" s="1"/>
  <c r="F75" i="9" a="1"/>
  <c r="F75" i="9" s="1"/>
  <c r="E76" i="9" a="1"/>
  <c r="E76" i="9" s="1"/>
  <c r="F76" i="9" a="1"/>
  <c r="F76" i="9" s="1"/>
  <c r="E77" i="9" a="1"/>
  <c r="E77" i="9" s="1"/>
  <c r="F77" i="9" a="1"/>
  <c r="F77" i="9" s="1"/>
  <c r="E82" i="9" a="1"/>
  <c r="E82" i="9" s="1"/>
  <c r="F82" i="9" a="1"/>
  <c r="F82" i="9" s="1"/>
  <c r="E83" i="9" a="1"/>
  <c r="E83" i="9" s="1"/>
  <c r="F83" i="9" a="1"/>
  <c r="F83" i="9" s="1"/>
  <c r="E84" i="9" a="1"/>
  <c r="E84" i="9" s="1"/>
  <c r="F84" i="9" a="1"/>
  <c r="F84" i="9" s="1"/>
  <c r="E85" i="9" a="1"/>
  <c r="E85" i="9" s="1"/>
  <c r="F85" i="9" a="1"/>
  <c r="F85" i="9" s="1"/>
  <c r="E86" i="9" a="1"/>
  <c r="E86" i="9" s="1"/>
  <c r="F86" i="9" a="1"/>
  <c r="F86" i="9" s="1"/>
  <c r="E87" i="9" a="1"/>
  <c r="E87" i="9" s="1"/>
  <c r="F87" i="9" a="1"/>
  <c r="F87" i="9" s="1"/>
  <c r="E88" i="9" a="1"/>
  <c r="E88" i="9" s="1"/>
  <c r="F88" i="9" a="1"/>
  <c r="F88" i="9" s="1"/>
  <c r="E89" i="9" a="1"/>
  <c r="E89" i="9" s="1"/>
  <c r="F89" i="9" a="1"/>
  <c r="F89" i="9" s="1"/>
  <c r="E90" i="9" a="1"/>
  <c r="E90" i="9" s="1"/>
  <c r="F90" i="9" a="1"/>
  <c r="F90" i="9" s="1"/>
  <c r="E91" i="9" a="1"/>
  <c r="E91" i="9" s="1"/>
  <c r="F91" i="9" a="1"/>
  <c r="F91" i="9" s="1"/>
  <c r="E92" i="9" a="1"/>
  <c r="E92" i="9" s="1"/>
  <c r="F92" i="9" a="1"/>
  <c r="F92" i="9" s="1"/>
  <c r="E93" i="9" a="1"/>
  <c r="E93" i="9" s="1"/>
  <c r="F93" i="9" a="1"/>
  <c r="F93" i="9" s="1"/>
  <c r="E94" i="9" a="1"/>
  <c r="E94" i="9" s="1"/>
  <c r="F94" i="9" a="1"/>
  <c r="F94" i="9" s="1"/>
  <c r="E95" i="9" a="1"/>
  <c r="E95" i="9" s="1"/>
  <c r="F95" i="9" a="1"/>
  <c r="F95" i="9" s="1"/>
  <c r="E96" i="9" a="1"/>
  <c r="E96" i="9" s="1"/>
  <c r="F96" i="9" a="1"/>
  <c r="F96" i="9" s="1"/>
  <c r="E97" i="9" a="1"/>
  <c r="E97" i="9" s="1"/>
  <c r="F97" i="9" a="1"/>
  <c r="F97" i="9" s="1"/>
  <c r="E98" i="9" a="1"/>
  <c r="E98" i="9" s="1"/>
  <c r="F98" i="9" a="1"/>
  <c r="F98" i="9" s="1"/>
  <c r="E99" i="9" a="1"/>
  <c r="E99" i="9" s="1"/>
  <c r="F99" i="9" a="1"/>
  <c r="F99" i="9" s="1"/>
  <c r="E100" i="9" a="1"/>
  <c r="E100" i="9" s="1"/>
  <c r="F100" i="9" a="1"/>
  <c r="F100" i="9" s="1"/>
  <c r="E101" i="9" a="1"/>
  <c r="E101" i="9" s="1"/>
  <c r="F101" i="9" a="1"/>
  <c r="F101" i="9" s="1"/>
  <c r="E102" i="9" a="1"/>
  <c r="E102" i="9" s="1"/>
  <c r="F102" i="9" a="1"/>
  <c r="F102" i="9" s="1"/>
  <c r="E103" i="9" a="1"/>
  <c r="E103" i="9" s="1"/>
  <c r="F103" i="9" a="1"/>
  <c r="F103" i="9" s="1"/>
  <c r="E104" i="9" a="1"/>
  <c r="E104" i="9" s="1"/>
  <c r="F104" i="9" a="1"/>
  <c r="F104" i="9" s="1"/>
  <c r="E105" i="9" a="1"/>
  <c r="E105" i="9" s="1"/>
  <c r="F105" i="9" a="1"/>
  <c r="F105" i="9" s="1"/>
  <c r="E106" i="9" a="1"/>
  <c r="E106" i="9" s="1"/>
  <c r="F106" i="9" a="1"/>
  <c r="F106" i="9" s="1"/>
  <c r="E107" i="9" a="1"/>
  <c r="E107" i="9" s="1"/>
  <c r="F107" i="9" a="1"/>
  <c r="F107" i="9" s="1"/>
  <c r="E108" i="9" a="1"/>
  <c r="E108" i="9" s="1"/>
  <c r="F108" i="9" a="1"/>
  <c r="F108" i="9" s="1"/>
  <c r="E109" i="9" a="1"/>
  <c r="E109" i="9" s="1"/>
  <c r="F109" i="9" a="1"/>
  <c r="F109" i="9" s="1"/>
  <c r="E110" i="9" a="1"/>
  <c r="E110" i="9" s="1"/>
  <c r="F110" i="9" a="1"/>
  <c r="F110" i="9" s="1"/>
  <c r="E111" i="9" a="1"/>
  <c r="E111" i="9" s="1"/>
  <c r="F111" i="9" a="1"/>
  <c r="F111" i="9" s="1"/>
  <c r="E112" i="9" a="1"/>
  <c r="E112" i="9" s="1"/>
  <c r="F112" i="9" a="1"/>
  <c r="F112" i="9" s="1"/>
  <c r="E113" i="9" a="1"/>
  <c r="E113" i="9" s="1"/>
  <c r="F113" i="9" a="1"/>
  <c r="F113" i="9" s="1"/>
  <c r="E114" i="9" a="1"/>
  <c r="E114" i="9" s="1"/>
  <c r="F114" i="9" a="1"/>
  <c r="F114" i="9" s="1"/>
  <c r="E115" i="9" a="1"/>
  <c r="E115" i="9" s="1"/>
  <c r="F115" i="9" a="1"/>
  <c r="F115" i="9" s="1"/>
  <c r="E116" i="9" a="1"/>
  <c r="E116" i="9" s="1"/>
  <c r="F116" i="9" a="1"/>
  <c r="F116" i="9" s="1"/>
  <c r="E117" i="9" a="1"/>
  <c r="E117" i="9" s="1"/>
  <c r="F117" i="9" a="1"/>
  <c r="F117" i="9" s="1"/>
  <c r="E118" i="9" a="1"/>
  <c r="E118" i="9" s="1"/>
  <c r="F118" i="9" a="1"/>
  <c r="F118" i="9" s="1"/>
  <c r="E119" i="9" a="1"/>
  <c r="E119" i="9" s="1"/>
  <c r="F119" i="9" a="1"/>
  <c r="F119" i="9" s="1"/>
  <c r="E120" i="9" a="1"/>
  <c r="E120" i="9" s="1"/>
  <c r="F120" i="9" a="1"/>
  <c r="F120" i="9" s="1"/>
  <c r="E121" i="9" a="1"/>
  <c r="E121" i="9" s="1"/>
  <c r="F121" i="9" a="1"/>
  <c r="F121" i="9" s="1"/>
  <c r="E122" i="9" a="1"/>
  <c r="E122" i="9" s="1"/>
  <c r="F122" i="9" a="1"/>
  <c r="F122" i="9" s="1"/>
  <c r="E123" i="9" a="1"/>
  <c r="E123" i="9" s="1"/>
  <c r="F123" i="9" a="1"/>
  <c r="F123" i="9" s="1"/>
  <c r="E124" i="9" a="1"/>
  <c r="E124" i="9" s="1"/>
  <c r="F124" i="9" a="1"/>
  <c r="F124" i="9" s="1"/>
  <c r="E125" i="9" a="1"/>
  <c r="E125" i="9" s="1"/>
  <c r="F125" i="9" a="1"/>
  <c r="F125" i="9" s="1"/>
  <c r="E126" i="9" a="1"/>
  <c r="E126" i="9" s="1"/>
  <c r="F126" i="9" a="1"/>
  <c r="F126" i="9" s="1"/>
  <c r="E127" i="9" a="1"/>
  <c r="E127" i="9" s="1"/>
  <c r="F127" i="9" a="1"/>
  <c r="F127" i="9" s="1"/>
  <c r="F9" i="9" a="1"/>
  <c r="F9" i="9" s="1"/>
  <c r="G10" i="9" a="1"/>
  <c r="G10" i="9" s="1"/>
  <c r="H10" i="9" a="1"/>
  <c r="H10" i="9" s="1"/>
  <c r="I10" i="9" a="1"/>
  <c r="I10" i="9" s="1"/>
  <c r="J10" i="9" a="1"/>
  <c r="J10" i="9" s="1"/>
  <c r="K10" i="9" a="1"/>
  <c r="K10" i="9" s="1"/>
  <c r="L10" i="9" a="1"/>
  <c r="L10" i="9" s="1"/>
  <c r="M10" i="9" a="1"/>
  <c r="M10" i="9" s="1"/>
  <c r="N10" i="9" a="1"/>
  <c r="N10" i="9" s="1"/>
  <c r="O10" i="9" a="1"/>
  <c r="O10" i="9" s="1"/>
  <c r="P10" i="9" a="1"/>
  <c r="P10" i="9" s="1"/>
  <c r="Q10" i="9" a="1"/>
  <c r="Q10" i="9" s="1"/>
  <c r="R10" i="9" a="1"/>
  <c r="R10" i="9" s="1"/>
  <c r="S10" i="9" a="1"/>
  <c r="S10" i="9" s="1"/>
  <c r="T10" i="9" a="1"/>
  <c r="T10" i="9" s="1"/>
  <c r="U10" i="9" a="1"/>
  <c r="U10" i="9" s="1"/>
  <c r="V10" i="9" a="1"/>
  <c r="V10" i="9" s="1"/>
  <c r="W10" i="9" a="1"/>
  <c r="W10" i="9" s="1"/>
  <c r="X10" i="9" a="1"/>
  <c r="X10" i="9" s="1"/>
  <c r="Y10" i="9" a="1"/>
  <c r="Y10" i="9" s="1"/>
  <c r="G11" i="9" a="1"/>
  <c r="G11" i="9" s="1"/>
  <c r="H11" i="9" a="1"/>
  <c r="H11" i="9" s="1"/>
  <c r="I11" i="9" a="1"/>
  <c r="I11" i="9" s="1"/>
  <c r="J11" i="9" a="1"/>
  <c r="J11" i="9" s="1"/>
  <c r="K11" i="9" a="1"/>
  <c r="K11" i="9" s="1"/>
  <c r="L11" i="9" a="1"/>
  <c r="L11" i="9" s="1"/>
  <c r="M11" i="9" a="1"/>
  <c r="M11" i="9" s="1"/>
  <c r="N11" i="9" a="1"/>
  <c r="N11" i="9" s="1"/>
  <c r="O11" i="9" a="1"/>
  <c r="O11" i="9" s="1"/>
  <c r="P11" i="9" a="1"/>
  <c r="P11" i="9" s="1"/>
  <c r="Q11" i="9" a="1"/>
  <c r="Q11" i="9" s="1"/>
  <c r="R11" i="9" a="1"/>
  <c r="R11" i="9" s="1"/>
  <c r="S11" i="9" a="1"/>
  <c r="S11" i="9" s="1"/>
  <c r="T11" i="9" a="1"/>
  <c r="T11" i="9" s="1"/>
  <c r="U11" i="9" a="1"/>
  <c r="U11" i="9" s="1"/>
  <c r="V11" i="9" a="1"/>
  <c r="V11" i="9" s="1"/>
  <c r="W11" i="9" a="1"/>
  <c r="W11" i="9" s="1"/>
  <c r="X11" i="9" a="1"/>
  <c r="X11" i="9" s="1"/>
  <c r="Y11" i="9" a="1"/>
  <c r="Y11" i="9" s="1"/>
  <c r="G12" i="9" a="1"/>
  <c r="G12" i="9" s="1"/>
  <c r="H12" i="9" a="1"/>
  <c r="H12" i="9" s="1"/>
  <c r="I12" i="9" a="1"/>
  <c r="I12" i="9" s="1"/>
  <c r="J12" i="9" a="1"/>
  <c r="J12" i="9" s="1"/>
  <c r="K12" i="9" a="1"/>
  <c r="K12" i="9" s="1"/>
  <c r="L12" i="9" a="1"/>
  <c r="L12" i="9" s="1"/>
  <c r="M12" i="9" a="1"/>
  <c r="M12" i="9" s="1"/>
  <c r="N12" i="9" a="1"/>
  <c r="N12" i="9" s="1"/>
  <c r="O12" i="9" a="1"/>
  <c r="O12" i="9" s="1"/>
  <c r="P12" i="9" a="1"/>
  <c r="P12" i="9" s="1"/>
  <c r="Q12" i="9" a="1"/>
  <c r="Q12" i="9" s="1"/>
  <c r="R12" i="9" a="1"/>
  <c r="R12" i="9" s="1"/>
  <c r="S12" i="9" a="1"/>
  <c r="S12" i="9" s="1"/>
  <c r="T12" i="9" a="1"/>
  <c r="T12" i="9" s="1"/>
  <c r="U12" i="9" a="1"/>
  <c r="U12" i="9" s="1"/>
  <c r="V12" i="9" a="1"/>
  <c r="V12" i="9" s="1"/>
  <c r="W12" i="9" a="1"/>
  <c r="W12" i="9" s="1"/>
  <c r="X12" i="9" a="1"/>
  <c r="X12" i="9" s="1"/>
  <c r="Y12" i="9" a="1"/>
  <c r="Y12" i="9" s="1"/>
  <c r="G13" i="9" a="1"/>
  <c r="G13" i="9" s="1"/>
  <c r="H13" i="9" a="1"/>
  <c r="H13" i="9" s="1"/>
  <c r="I13" i="9" a="1"/>
  <c r="I13" i="9" s="1"/>
  <c r="J13" i="9" a="1"/>
  <c r="J13" i="9" s="1"/>
  <c r="K13" i="9" a="1"/>
  <c r="K13" i="9" s="1"/>
  <c r="L13" i="9" a="1"/>
  <c r="L13" i="9" s="1"/>
  <c r="M13" i="9" a="1"/>
  <c r="M13" i="9" s="1"/>
  <c r="N13" i="9" a="1"/>
  <c r="N13" i="9" s="1"/>
  <c r="O13" i="9" a="1"/>
  <c r="O13" i="9" s="1"/>
  <c r="P13" i="9" a="1"/>
  <c r="P13" i="9" s="1"/>
  <c r="Q13" i="9" a="1"/>
  <c r="Q13" i="9" s="1"/>
  <c r="R13" i="9" a="1"/>
  <c r="R13" i="9" s="1"/>
  <c r="S13" i="9" a="1"/>
  <c r="S13" i="9" s="1"/>
  <c r="T13" i="9" a="1"/>
  <c r="T13" i="9" s="1"/>
  <c r="U13" i="9" a="1"/>
  <c r="U13" i="9" s="1"/>
  <c r="V13" i="9" a="1"/>
  <c r="V13" i="9" s="1"/>
  <c r="W13" i="9" a="1"/>
  <c r="W13" i="9" s="1"/>
  <c r="X13" i="9" a="1"/>
  <c r="X13" i="9" s="1"/>
  <c r="Y13" i="9" a="1"/>
  <c r="Y13" i="9" s="1"/>
  <c r="G14" i="9" a="1"/>
  <c r="G14" i="9" s="1"/>
  <c r="H14" i="9" a="1"/>
  <c r="H14" i="9" s="1"/>
  <c r="I14" i="9" a="1"/>
  <c r="I14" i="9" s="1"/>
  <c r="J14" i="9" a="1"/>
  <c r="J14" i="9" s="1"/>
  <c r="K14" i="9" a="1"/>
  <c r="K14" i="9" s="1"/>
  <c r="L14" i="9" a="1"/>
  <c r="L14" i="9" s="1"/>
  <c r="M14" i="9" a="1"/>
  <c r="M14" i="9" s="1"/>
  <c r="N14" i="9" a="1"/>
  <c r="N14" i="9" s="1"/>
  <c r="O14" i="9" a="1"/>
  <c r="O14" i="9" s="1"/>
  <c r="P14" i="9" a="1"/>
  <c r="P14" i="9" s="1"/>
  <c r="Q14" i="9" a="1"/>
  <c r="Q14" i="9" s="1"/>
  <c r="R14" i="9" a="1"/>
  <c r="R14" i="9" s="1"/>
  <c r="S14" i="9" a="1"/>
  <c r="S14" i="9" s="1"/>
  <c r="T14" i="9" a="1"/>
  <c r="T14" i="9" s="1"/>
  <c r="U14" i="9" a="1"/>
  <c r="U14" i="9" s="1"/>
  <c r="V14" i="9" a="1"/>
  <c r="V14" i="9" s="1"/>
  <c r="W14" i="9" a="1"/>
  <c r="W14" i="9" s="1"/>
  <c r="X14" i="9" a="1"/>
  <c r="X14" i="9" s="1"/>
  <c r="Y14" i="9" a="1"/>
  <c r="Y14" i="9" s="1"/>
  <c r="G15" i="9" a="1"/>
  <c r="G15" i="9" s="1"/>
  <c r="H15" i="9" a="1"/>
  <c r="H15" i="9" s="1"/>
  <c r="I15" i="9" a="1"/>
  <c r="I15" i="9" s="1"/>
  <c r="J15" i="9" a="1"/>
  <c r="J15" i="9" s="1"/>
  <c r="K15" i="9" a="1"/>
  <c r="K15" i="9" s="1"/>
  <c r="L15" i="9" a="1"/>
  <c r="L15" i="9" s="1"/>
  <c r="M15" i="9" a="1"/>
  <c r="M15" i="9" s="1"/>
  <c r="N15" i="9" a="1"/>
  <c r="N15" i="9" s="1"/>
  <c r="O15" i="9" a="1"/>
  <c r="O15" i="9" s="1"/>
  <c r="P15" i="9" a="1"/>
  <c r="P15" i="9" s="1"/>
  <c r="Q15" i="9" a="1"/>
  <c r="Q15" i="9" s="1"/>
  <c r="R15" i="9" a="1"/>
  <c r="R15" i="9" s="1"/>
  <c r="S15" i="9" a="1"/>
  <c r="S15" i="9" s="1"/>
  <c r="T15" i="9" a="1"/>
  <c r="T15" i="9" s="1"/>
  <c r="U15" i="9" a="1"/>
  <c r="U15" i="9" s="1"/>
  <c r="V15" i="9" a="1"/>
  <c r="V15" i="9" s="1"/>
  <c r="W15" i="9" a="1"/>
  <c r="W15" i="9" s="1"/>
  <c r="X15" i="9" a="1"/>
  <c r="X15" i="9" s="1"/>
  <c r="Y15" i="9" a="1"/>
  <c r="Y15" i="9" s="1"/>
  <c r="G16" i="9" a="1"/>
  <c r="G16" i="9" s="1"/>
  <c r="H16" i="9" a="1"/>
  <c r="H16" i="9" s="1"/>
  <c r="I16" i="9" a="1"/>
  <c r="I16" i="9" s="1"/>
  <c r="J16" i="9" a="1"/>
  <c r="J16" i="9" s="1"/>
  <c r="K16" i="9" a="1"/>
  <c r="K16" i="9" s="1"/>
  <c r="L16" i="9" a="1"/>
  <c r="L16" i="9" s="1"/>
  <c r="M16" i="9" a="1"/>
  <c r="M16" i="9" s="1"/>
  <c r="N16" i="9" a="1"/>
  <c r="N16" i="9" s="1"/>
  <c r="O16" i="9" a="1"/>
  <c r="O16" i="9" s="1"/>
  <c r="P16" i="9" a="1"/>
  <c r="P16" i="9" s="1"/>
  <c r="Q16" i="9" a="1"/>
  <c r="Q16" i="9" s="1"/>
  <c r="R16" i="9" a="1"/>
  <c r="R16" i="9" s="1"/>
  <c r="S16" i="9" a="1"/>
  <c r="S16" i="9" s="1"/>
  <c r="T16" i="9" a="1"/>
  <c r="T16" i="9" s="1"/>
  <c r="U16" i="9" a="1"/>
  <c r="U16" i="9" s="1"/>
  <c r="V16" i="9" a="1"/>
  <c r="V16" i="9" s="1"/>
  <c r="W16" i="9" a="1"/>
  <c r="W16" i="9" s="1"/>
  <c r="X16" i="9" a="1"/>
  <c r="X16" i="9" s="1"/>
  <c r="Y16" i="9" a="1"/>
  <c r="Y16" i="9" s="1"/>
  <c r="G17" i="9" a="1"/>
  <c r="G17" i="9" s="1"/>
  <c r="H17" i="9" a="1"/>
  <c r="H17" i="9" s="1"/>
  <c r="I17" i="9" a="1"/>
  <c r="I17" i="9" s="1"/>
  <c r="J17" i="9" a="1"/>
  <c r="J17" i="9" s="1"/>
  <c r="K17" i="9" a="1"/>
  <c r="K17" i="9" s="1"/>
  <c r="L17" i="9" a="1"/>
  <c r="L17" i="9" s="1"/>
  <c r="M17" i="9" a="1"/>
  <c r="M17" i="9" s="1"/>
  <c r="N17" i="9" a="1"/>
  <c r="N17" i="9" s="1"/>
  <c r="O17" i="9" a="1"/>
  <c r="O17" i="9" s="1"/>
  <c r="P17" i="9" a="1"/>
  <c r="P17" i="9" s="1"/>
  <c r="Q17" i="9" a="1"/>
  <c r="Q17" i="9" s="1"/>
  <c r="R17" i="9" a="1"/>
  <c r="R17" i="9" s="1"/>
  <c r="S17" i="9" a="1"/>
  <c r="S17" i="9" s="1"/>
  <c r="T17" i="9" a="1"/>
  <c r="T17" i="9" s="1"/>
  <c r="U17" i="9" a="1"/>
  <c r="U17" i="9" s="1"/>
  <c r="V17" i="9" a="1"/>
  <c r="V17" i="9" s="1"/>
  <c r="W17" i="9" a="1"/>
  <c r="W17" i="9" s="1"/>
  <c r="X17" i="9" a="1"/>
  <c r="X17" i="9" s="1"/>
  <c r="Y17" i="9" a="1"/>
  <c r="Y17" i="9" s="1"/>
  <c r="G18" i="9" a="1"/>
  <c r="G18" i="9" s="1"/>
  <c r="H18" i="9" a="1"/>
  <c r="H18" i="9" s="1"/>
  <c r="I18" i="9" a="1"/>
  <c r="I18" i="9" s="1"/>
  <c r="J18" i="9" a="1"/>
  <c r="J18" i="9" s="1"/>
  <c r="K18" i="9" a="1"/>
  <c r="K18" i="9" s="1"/>
  <c r="L18" i="9" a="1"/>
  <c r="L18" i="9" s="1"/>
  <c r="M18" i="9" a="1"/>
  <c r="M18" i="9" s="1"/>
  <c r="N18" i="9" a="1"/>
  <c r="N18" i="9" s="1"/>
  <c r="O18" i="9" a="1"/>
  <c r="O18" i="9" s="1"/>
  <c r="P18" i="9" a="1"/>
  <c r="P18" i="9" s="1"/>
  <c r="Q18" i="9" a="1"/>
  <c r="Q18" i="9" s="1"/>
  <c r="R18" i="9" a="1"/>
  <c r="R18" i="9" s="1"/>
  <c r="S18" i="9" a="1"/>
  <c r="S18" i="9" s="1"/>
  <c r="T18" i="9" a="1"/>
  <c r="T18" i="9" s="1"/>
  <c r="U18" i="9" a="1"/>
  <c r="U18" i="9" s="1"/>
  <c r="V18" i="9" a="1"/>
  <c r="V18" i="9" s="1"/>
  <c r="W18" i="9" a="1"/>
  <c r="W18" i="9" s="1"/>
  <c r="X18" i="9" a="1"/>
  <c r="X18" i="9" s="1"/>
  <c r="Y18" i="9" a="1"/>
  <c r="Y18" i="9" s="1"/>
  <c r="G19" i="9" a="1"/>
  <c r="G19" i="9" s="1"/>
  <c r="H19" i="9" a="1"/>
  <c r="H19" i="9" s="1"/>
  <c r="I19" i="9" a="1"/>
  <c r="I19" i="9" s="1"/>
  <c r="J19" i="9" a="1"/>
  <c r="J19" i="9" s="1"/>
  <c r="K19" i="9" a="1"/>
  <c r="K19" i="9" s="1"/>
  <c r="L19" i="9" a="1"/>
  <c r="L19" i="9" s="1"/>
  <c r="M19" i="9" a="1"/>
  <c r="M19" i="9" s="1"/>
  <c r="N19" i="9" a="1"/>
  <c r="N19" i="9" s="1"/>
  <c r="O19" i="9" a="1"/>
  <c r="O19" i="9" s="1"/>
  <c r="P19" i="9" a="1"/>
  <c r="P19" i="9" s="1"/>
  <c r="Q19" i="9" a="1"/>
  <c r="Q19" i="9" s="1"/>
  <c r="R19" i="9" a="1"/>
  <c r="R19" i="9" s="1"/>
  <c r="S19" i="9" a="1"/>
  <c r="S19" i="9" s="1"/>
  <c r="T19" i="9" a="1"/>
  <c r="T19" i="9" s="1"/>
  <c r="U19" i="9" a="1"/>
  <c r="U19" i="9" s="1"/>
  <c r="V19" i="9" a="1"/>
  <c r="V19" i="9" s="1"/>
  <c r="W19" i="9" a="1"/>
  <c r="W19" i="9" s="1"/>
  <c r="X19" i="9" a="1"/>
  <c r="X19" i="9" s="1"/>
  <c r="Y19" i="9" a="1"/>
  <c r="Y19" i="9" s="1"/>
  <c r="G20" i="9" a="1"/>
  <c r="G20" i="9" s="1"/>
  <c r="H20" i="9" a="1"/>
  <c r="H20" i="9" s="1"/>
  <c r="I20" i="9" a="1"/>
  <c r="I20" i="9" s="1"/>
  <c r="J20" i="9" a="1"/>
  <c r="J20" i="9" s="1"/>
  <c r="K20" i="9" a="1"/>
  <c r="K20" i="9" s="1"/>
  <c r="L20" i="9" a="1"/>
  <c r="L20" i="9" s="1"/>
  <c r="M20" i="9" a="1"/>
  <c r="M20" i="9" s="1"/>
  <c r="N20" i="9" a="1"/>
  <c r="N20" i="9" s="1"/>
  <c r="O20" i="9" a="1"/>
  <c r="O20" i="9" s="1"/>
  <c r="P20" i="9" a="1"/>
  <c r="P20" i="9" s="1"/>
  <c r="Q20" i="9" a="1"/>
  <c r="Q20" i="9" s="1"/>
  <c r="R20" i="9" a="1"/>
  <c r="R20" i="9" s="1"/>
  <c r="S20" i="9" a="1"/>
  <c r="S20" i="9" s="1"/>
  <c r="T20" i="9" a="1"/>
  <c r="T20" i="9" s="1"/>
  <c r="U20" i="9" a="1"/>
  <c r="U20" i="9" s="1"/>
  <c r="V20" i="9" a="1"/>
  <c r="V20" i="9" s="1"/>
  <c r="W20" i="9" a="1"/>
  <c r="W20" i="9" s="1"/>
  <c r="X20" i="9" a="1"/>
  <c r="X20" i="9" s="1"/>
  <c r="Y20" i="9" a="1"/>
  <c r="Y20" i="9" s="1"/>
  <c r="G21" i="9" a="1"/>
  <c r="G21" i="9" s="1"/>
  <c r="H21" i="9" a="1"/>
  <c r="H21" i="9" s="1"/>
  <c r="I21" i="9" a="1"/>
  <c r="I21" i="9" s="1"/>
  <c r="J21" i="9" a="1"/>
  <c r="J21" i="9" s="1"/>
  <c r="K21" i="9" a="1"/>
  <c r="K21" i="9" s="1"/>
  <c r="L21" i="9" a="1"/>
  <c r="L21" i="9" s="1"/>
  <c r="M21" i="9" a="1"/>
  <c r="M21" i="9" s="1"/>
  <c r="N21" i="9" a="1"/>
  <c r="N21" i="9" s="1"/>
  <c r="O21" i="9" a="1"/>
  <c r="O21" i="9" s="1"/>
  <c r="P21" i="9" a="1"/>
  <c r="P21" i="9" s="1"/>
  <c r="Q21" i="9" a="1"/>
  <c r="Q21" i="9" s="1"/>
  <c r="R21" i="9" a="1"/>
  <c r="R21" i="9" s="1"/>
  <c r="S21" i="9" a="1"/>
  <c r="S21" i="9" s="1"/>
  <c r="T21" i="9" a="1"/>
  <c r="T21" i="9" s="1"/>
  <c r="U21" i="9" a="1"/>
  <c r="U21" i="9" s="1"/>
  <c r="V21" i="9" a="1"/>
  <c r="V21" i="9" s="1"/>
  <c r="W21" i="9" a="1"/>
  <c r="W21" i="9" s="1"/>
  <c r="X21" i="9" a="1"/>
  <c r="X21" i="9" s="1"/>
  <c r="Y21" i="9" a="1"/>
  <c r="Y21" i="9" s="1"/>
  <c r="G24" i="9" a="1"/>
  <c r="G24" i="9" s="1"/>
  <c r="H24" i="9" a="1"/>
  <c r="H24" i="9" s="1"/>
  <c r="I24" i="9" a="1"/>
  <c r="I24" i="9" s="1"/>
  <c r="J24" i="9" a="1"/>
  <c r="J24" i="9" s="1"/>
  <c r="K24" i="9" a="1"/>
  <c r="K24" i="9" s="1"/>
  <c r="L24" i="9" a="1"/>
  <c r="L24" i="9" s="1"/>
  <c r="M24" i="9" a="1"/>
  <c r="M24" i="9" s="1"/>
  <c r="N24" i="9" a="1"/>
  <c r="N24" i="9" s="1"/>
  <c r="O24" i="9" a="1"/>
  <c r="O24" i="9" s="1"/>
  <c r="P24" i="9" a="1"/>
  <c r="P24" i="9" s="1"/>
  <c r="Q24" i="9" a="1"/>
  <c r="Q24" i="9" s="1"/>
  <c r="R24" i="9" a="1"/>
  <c r="R24" i="9" s="1"/>
  <c r="S24" i="9" a="1"/>
  <c r="S24" i="9" s="1"/>
  <c r="T24" i="9" a="1"/>
  <c r="T24" i="9" s="1"/>
  <c r="U24" i="9" a="1"/>
  <c r="U24" i="9" s="1"/>
  <c r="V24" i="9" a="1"/>
  <c r="V24" i="9" s="1"/>
  <c r="W24" i="9" a="1"/>
  <c r="W24" i="9" s="1"/>
  <c r="X24" i="9" a="1"/>
  <c r="X24" i="9" s="1"/>
  <c r="Y24" i="9" a="1"/>
  <c r="Y24" i="9" s="1"/>
  <c r="G25" i="9" a="1"/>
  <c r="G25" i="9" s="1"/>
  <c r="H25" i="9" a="1"/>
  <c r="H25" i="9" s="1"/>
  <c r="I25" i="9" a="1"/>
  <c r="I25" i="9" s="1"/>
  <c r="J25" i="9" a="1"/>
  <c r="J25" i="9" s="1"/>
  <c r="K25" i="9" a="1"/>
  <c r="K25" i="9" s="1"/>
  <c r="L25" i="9" a="1"/>
  <c r="L25" i="9" s="1"/>
  <c r="M25" i="9" a="1"/>
  <c r="M25" i="9" s="1"/>
  <c r="N25" i="9" a="1"/>
  <c r="N25" i="9" s="1"/>
  <c r="O25" i="9" a="1"/>
  <c r="O25" i="9" s="1"/>
  <c r="P25" i="9" a="1"/>
  <c r="P25" i="9" s="1"/>
  <c r="Q25" i="9" a="1"/>
  <c r="Q25" i="9" s="1"/>
  <c r="R25" i="9" a="1"/>
  <c r="R25" i="9" s="1"/>
  <c r="S25" i="9" a="1"/>
  <c r="S25" i="9" s="1"/>
  <c r="T25" i="9" a="1"/>
  <c r="T25" i="9" s="1"/>
  <c r="U25" i="9" a="1"/>
  <c r="U25" i="9" s="1"/>
  <c r="V25" i="9" a="1"/>
  <c r="V25" i="9" s="1"/>
  <c r="W25" i="9" a="1"/>
  <c r="W25" i="9" s="1"/>
  <c r="X25" i="9" a="1"/>
  <c r="X25" i="9" s="1"/>
  <c r="Y25" i="9" a="1"/>
  <c r="Y25" i="9" s="1"/>
  <c r="G26" i="9" a="1"/>
  <c r="G26" i="9" s="1"/>
  <c r="H26" i="9" a="1"/>
  <c r="H26" i="9" s="1"/>
  <c r="I26" i="9" a="1"/>
  <c r="I26" i="9" s="1"/>
  <c r="J26" i="9" a="1"/>
  <c r="J26" i="9" s="1"/>
  <c r="K26" i="9" a="1"/>
  <c r="K26" i="9" s="1"/>
  <c r="L26" i="9" a="1"/>
  <c r="L26" i="9" s="1"/>
  <c r="M26" i="9" a="1"/>
  <c r="M26" i="9" s="1"/>
  <c r="N26" i="9" a="1"/>
  <c r="N26" i="9" s="1"/>
  <c r="O26" i="9" a="1"/>
  <c r="O26" i="9" s="1"/>
  <c r="P26" i="9" a="1"/>
  <c r="P26" i="9" s="1"/>
  <c r="Q26" i="9" a="1"/>
  <c r="Q26" i="9" s="1"/>
  <c r="R26" i="9" a="1"/>
  <c r="R26" i="9" s="1"/>
  <c r="S26" i="9" a="1"/>
  <c r="S26" i="9" s="1"/>
  <c r="T26" i="9" a="1"/>
  <c r="T26" i="9" s="1"/>
  <c r="U26" i="9" a="1"/>
  <c r="U26" i="9" s="1"/>
  <c r="V26" i="9" a="1"/>
  <c r="V26" i="9" s="1"/>
  <c r="W26" i="9" a="1"/>
  <c r="W26" i="9" s="1"/>
  <c r="X26" i="9" a="1"/>
  <c r="X26" i="9" s="1"/>
  <c r="Y26" i="9" a="1"/>
  <c r="Y26" i="9" s="1"/>
  <c r="G27" i="9" a="1"/>
  <c r="G27" i="9" s="1"/>
  <c r="H27" i="9" a="1"/>
  <c r="H27" i="9" s="1"/>
  <c r="I27" i="9" a="1"/>
  <c r="I27" i="9" s="1"/>
  <c r="J27" i="9" a="1"/>
  <c r="J27" i="9" s="1"/>
  <c r="K27" i="9" a="1"/>
  <c r="K27" i="9" s="1"/>
  <c r="L27" i="9" a="1"/>
  <c r="L27" i="9" s="1"/>
  <c r="M27" i="9" a="1"/>
  <c r="M27" i="9" s="1"/>
  <c r="N27" i="9" a="1"/>
  <c r="N27" i="9" s="1"/>
  <c r="O27" i="9" a="1"/>
  <c r="O27" i="9" s="1"/>
  <c r="P27" i="9" a="1"/>
  <c r="P27" i="9" s="1"/>
  <c r="Q27" i="9" a="1"/>
  <c r="Q27" i="9" s="1"/>
  <c r="R27" i="9" a="1"/>
  <c r="R27" i="9" s="1"/>
  <c r="S27" i="9" a="1"/>
  <c r="S27" i="9" s="1"/>
  <c r="T27" i="9" a="1"/>
  <c r="T27" i="9" s="1"/>
  <c r="U27" i="9" a="1"/>
  <c r="U27" i="9" s="1"/>
  <c r="V27" i="9" a="1"/>
  <c r="V27" i="9" s="1"/>
  <c r="W27" i="9" a="1"/>
  <c r="W27" i="9" s="1"/>
  <c r="X27" i="9" a="1"/>
  <c r="X27" i="9" s="1"/>
  <c r="Y27" i="9" a="1"/>
  <c r="Y27" i="9" s="1"/>
  <c r="G30" i="9" a="1"/>
  <c r="G30" i="9" s="1"/>
  <c r="H30" i="9" a="1"/>
  <c r="H30" i="9" s="1"/>
  <c r="I30" i="9" a="1"/>
  <c r="I30" i="9" s="1"/>
  <c r="J30" i="9" a="1"/>
  <c r="J30" i="9" s="1"/>
  <c r="K30" i="9" a="1"/>
  <c r="K30" i="9" s="1"/>
  <c r="L30" i="9" a="1"/>
  <c r="L30" i="9" s="1"/>
  <c r="M30" i="9" a="1"/>
  <c r="M30" i="9" s="1"/>
  <c r="N30" i="9" a="1"/>
  <c r="N30" i="9" s="1"/>
  <c r="O30" i="9" a="1"/>
  <c r="O30" i="9" s="1"/>
  <c r="P30" i="9" a="1"/>
  <c r="P30" i="9" s="1"/>
  <c r="Q30" i="9" a="1"/>
  <c r="Q30" i="9" s="1"/>
  <c r="R30" i="9" a="1"/>
  <c r="R30" i="9" s="1"/>
  <c r="S30" i="9" a="1"/>
  <c r="S30" i="9" s="1"/>
  <c r="T30" i="9" a="1"/>
  <c r="T30" i="9" s="1"/>
  <c r="U30" i="9" a="1"/>
  <c r="U30" i="9" s="1"/>
  <c r="V30" i="9" a="1"/>
  <c r="V30" i="9" s="1"/>
  <c r="W30" i="9" a="1"/>
  <c r="W30" i="9" s="1"/>
  <c r="X30" i="9" a="1"/>
  <c r="X30" i="9" s="1"/>
  <c r="Y30" i="9" a="1"/>
  <c r="Y30" i="9" s="1"/>
  <c r="G31" i="9" a="1"/>
  <c r="G31" i="9" s="1"/>
  <c r="H31" i="9" a="1"/>
  <c r="H31" i="9" s="1"/>
  <c r="I31" i="9" a="1"/>
  <c r="I31" i="9" s="1"/>
  <c r="J31" i="9" a="1"/>
  <c r="J31" i="9" s="1"/>
  <c r="K31" i="9" a="1"/>
  <c r="K31" i="9" s="1"/>
  <c r="L31" i="9" a="1"/>
  <c r="L31" i="9" s="1"/>
  <c r="M31" i="9" a="1"/>
  <c r="M31" i="9" s="1"/>
  <c r="N31" i="9" a="1"/>
  <c r="N31" i="9" s="1"/>
  <c r="O31" i="9" a="1"/>
  <c r="O31" i="9" s="1"/>
  <c r="P31" i="9" a="1"/>
  <c r="P31" i="9" s="1"/>
  <c r="Q31" i="9" a="1"/>
  <c r="Q31" i="9" s="1"/>
  <c r="R31" i="9" a="1"/>
  <c r="R31" i="9" s="1"/>
  <c r="S31" i="9" a="1"/>
  <c r="S31" i="9" s="1"/>
  <c r="T31" i="9" a="1"/>
  <c r="T31" i="9" s="1"/>
  <c r="U31" i="9" a="1"/>
  <c r="U31" i="9" s="1"/>
  <c r="V31" i="9" a="1"/>
  <c r="V31" i="9" s="1"/>
  <c r="W31" i="9" a="1"/>
  <c r="W31" i="9" s="1"/>
  <c r="X31" i="9" a="1"/>
  <c r="X31" i="9" s="1"/>
  <c r="Y31" i="9" a="1"/>
  <c r="Y31" i="9" s="1"/>
  <c r="G32" i="9" a="1"/>
  <c r="G32" i="9" s="1"/>
  <c r="H32" i="9" a="1"/>
  <c r="H32" i="9" s="1"/>
  <c r="I32" i="9" a="1"/>
  <c r="I32" i="9" s="1"/>
  <c r="J32" i="9" a="1"/>
  <c r="J32" i="9" s="1"/>
  <c r="K32" i="9" a="1"/>
  <c r="K32" i="9" s="1"/>
  <c r="L32" i="9" a="1"/>
  <c r="L32" i="9" s="1"/>
  <c r="M32" i="9" a="1"/>
  <c r="M32" i="9" s="1"/>
  <c r="N32" i="9" a="1"/>
  <c r="N32" i="9" s="1"/>
  <c r="O32" i="9" a="1"/>
  <c r="O32" i="9" s="1"/>
  <c r="P32" i="9" a="1"/>
  <c r="P32" i="9" s="1"/>
  <c r="Q32" i="9" a="1"/>
  <c r="Q32" i="9" s="1"/>
  <c r="R32" i="9" a="1"/>
  <c r="R32" i="9" s="1"/>
  <c r="S32" i="9" a="1"/>
  <c r="S32" i="9" s="1"/>
  <c r="T32" i="9" a="1"/>
  <c r="T32" i="9" s="1"/>
  <c r="U32" i="9" a="1"/>
  <c r="U32" i="9" s="1"/>
  <c r="V32" i="9" a="1"/>
  <c r="V32" i="9" s="1"/>
  <c r="W32" i="9" a="1"/>
  <c r="W32" i="9" s="1"/>
  <c r="X32" i="9" a="1"/>
  <c r="X32" i="9" s="1"/>
  <c r="Y32" i="9" a="1"/>
  <c r="Y32" i="9" s="1"/>
  <c r="G33" i="9" a="1"/>
  <c r="G33" i="9" s="1"/>
  <c r="H33" i="9" a="1"/>
  <c r="H33" i="9" s="1"/>
  <c r="I33" i="9" a="1"/>
  <c r="I33" i="9" s="1"/>
  <c r="J33" i="9" a="1"/>
  <c r="J33" i="9" s="1"/>
  <c r="K33" i="9" a="1"/>
  <c r="K33" i="9" s="1"/>
  <c r="L33" i="9" a="1"/>
  <c r="L33" i="9" s="1"/>
  <c r="M33" i="9" a="1"/>
  <c r="M33" i="9" s="1"/>
  <c r="N33" i="9" a="1"/>
  <c r="N33" i="9" s="1"/>
  <c r="O33" i="9" a="1"/>
  <c r="O33" i="9" s="1"/>
  <c r="P33" i="9" a="1"/>
  <c r="P33" i="9" s="1"/>
  <c r="Q33" i="9" a="1"/>
  <c r="Q33" i="9" s="1"/>
  <c r="R33" i="9" a="1"/>
  <c r="R33" i="9" s="1"/>
  <c r="S33" i="9" a="1"/>
  <c r="S33" i="9" s="1"/>
  <c r="T33" i="9" a="1"/>
  <c r="T33" i="9" s="1"/>
  <c r="U33" i="9" a="1"/>
  <c r="U33" i="9" s="1"/>
  <c r="V33" i="9" a="1"/>
  <c r="V33" i="9" s="1"/>
  <c r="W33" i="9" a="1"/>
  <c r="W33" i="9" s="1"/>
  <c r="X33" i="9" a="1"/>
  <c r="X33" i="9" s="1"/>
  <c r="Y33" i="9" a="1"/>
  <c r="Y33" i="9" s="1"/>
  <c r="G34" i="9" a="1"/>
  <c r="G34" i="9" s="1"/>
  <c r="H34" i="9" a="1"/>
  <c r="H34" i="9" s="1"/>
  <c r="I34" i="9" a="1"/>
  <c r="I34" i="9" s="1"/>
  <c r="J34" i="9" a="1"/>
  <c r="J34" i="9" s="1"/>
  <c r="K34" i="9" a="1"/>
  <c r="K34" i="9" s="1"/>
  <c r="L34" i="9" a="1"/>
  <c r="L34" i="9" s="1"/>
  <c r="M34" i="9" a="1"/>
  <c r="M34" i="9" s="1"/>
  <c r="N34" i="9" a="1"/>
  <c r="N34" i="9" s="1"/>
  <c r="O34" i="9" a="1"/>
  <c r="O34" i="9" s="1"/>
  <c r="P34" i="9" a="1"/>
  <c r="P34" i="9" s="1"/>
  <c r="Q34" i="9" a="1"/>
  <c r="Q34" i="9" s="1"/>
  <c r="R34" i="9" a="1"/>
  <c r="R34" i="9" s="1"/>
  <c r="S34" i="9" a="1"/>
  <c r="S34" i="9" s="1"/>
  <c r="T34" i="9" a="1"/>
  <c r="T34" i="9" s="1"/>
  <c r="U34" i="9" a="1"/>
  <c r="U34" i="9" s="1"/>
  <c r="V34" i="9" a="1"/>
  <c r="V34" i="9" s="1"/>
  <c r="W34" i="9" a="1"/>
  <c r="W34" i="9" s="1"/>
  <c r="X34" i="9" a="1"/>
  <c r="X34" i="9" s="1"/>
  <c r="Y34" i="9" a="1"/>
  <c r="Y34" i="9" s="1"/>
  <c r="G35" i="9" a="1"/>
  <c r="G35" i="9" s="1"/>
  <c r="H35" i="9" a="1"/>
  <c r="H35" i="9" s="1"/>
  <c r="I35" i="9" a="1"/>
  <c r="I35" i="9" s="1"/>
  <c r="J35" i="9" a="1"/>
  <c r="J35" i="9" s="1"/>
  <c r="K35" i="9" a="1"/>
  <c r="K35" i="9" s="1"/>
  <c r="L35" i="9" a="1"/>
  <c r="L35" i="9" s="1"/>
  <c r="M35" i="9" a="1"/>
  <c r="M35" i="9" s="1"/>
  <c r="N35" i="9" a="1"/>
  <c r="N35" i="9" s="1"/>
  <c r="O35" i="9" a="1"/>
  <c r="O35" i="9" s="1"/>
  <c r="P35" i="9" a="1"/>
  <c r="P35" i="9" s="1"/>
  <c r="Q35" i="9" a="1"/>
  <c r="Q35" i="9" s="1"/>
  <c r="R35" i="9" a="1"/>
  <c r="R35" i="9" s="1"/>
  <c r="S35" i="9" a="1"/>
  <c r="S35" i="9" s="1"/>
  <c r="T35" i="9" a="1"/>
  <c r="T35" i="9" s="1"/>
  <c r="U35" i="9" a="1"/>
  <c r="U35" i="9" s="1"/>
  <c r="V35" i="9" a="1"/>
  <c r="V35" i="9" s="1"/>
  <c r="W35" i="9" a="1"/>
  <c r="W35" i="9" s="1"/>
  <c r="X35" i="9" a="1"/>
  <c r="X35" i="9" s="1"/>
  <c r="Y35" i="9" a="1"/>
  <c r="Y35" i="9" s="1"/>
  <c r="G36" i="9" a="1"/>
  <c r="G36" i="9" s="1"/>
  <c r="H36" i="9" a="1"/>
  <c r="H36" i="9" s="1"/>
  <c r="I36" i="9" a="1"/>
  <c r="I36" i="9" s="1"/>
  <c r="J36" i="9" a="1"/>
  <c r="J36" i="9" s="1"/>
  <c r="K36" i="9" a="1"/>
  <c r="K36" i="9" s="1"/>
  <c r="L36" i="9" a="1"/>
  <c r="L36" i="9" s="1"/>
  <c r="M36" i="9" a="1"/>
  <c r="M36" i="9" s="1"/>
  <c r="N36" i="9" a="1"/>
  <c r="N36" i="9" s="1"/>
  <c r="O36" i="9" a="1"/>
  <c r="O36" i="9" s="1"/>
  <c r="P36" i="9" a="1"/>
  <c r="P36" i="9" s="1"/>
  <c r="Q36" i="9" a="1"/>
  <c r="Q36" i="9" s="1"/>
  <c r="R36" i="9" a="1"/>
  <c r="R36" i="9" s="1"/>
  <c r="S36" i="9" a="1"/>
  <c r="S36" i="9" s="1"/>
  <c r="T36" i="9" a="1"/>
  <c r="T36" i="9" s="1"/>
  <c r="U36" i="9" a="1"/>
  <c r="U36" i="9" s="1"/>
  <c r="V36" i="9" a="1"/>
  <c r="V36" i="9" s="1"/>
  <c r="W36" i="9" a="1"/>
  <c r="W36" i="9" s="1"/>
  <c r="X36" i="9" a="1"/>
  <c r="X36" i="9" s="1"/>
  <c r="Y36" i="9" a="1"/>
  <c r="Y36" i="9" s="1"/>
  <c r="G37" i="9" a="1"/>
  <c r="G37" i="9" s="1"/>
  <c r="H37" i="9" a="1"/>
  <c r="H37" i="9" s="1"/>
  <c r="I37" i="9" a="1"/>
  <c r="I37" i="9" s="1"/>
  <c r="J37" i="9" a="1"/>
  <c r="J37" i="9" s="1"/>
  <c r="K37" i="9" a="1"/>
  <c r="K37" i="9" s="1"/>
  <c r="L37" i="9" a="1"/>
  <c r="L37" i="9" s="1"/>
  <c r="M37" i="9" a="1"/>
  <c r="M37" i="9" s="1"/>
  <c r="N37" i="9" a="1"/>
  <c r="N37" i="9" s="1"/>
  <c r="O37" i="9" a="1"/>
  <c r="O37" i="9" s="1"/>
  <c r="P37" i="9" a="1"/>
  <c r="P37" i="9" s="1"/>
  <c r="Q37" i="9" a="1"/>
  <c r="Q37" i="9" s="1"/>
  <c r="R37" i="9" a="1"/>
  <c r="R37" i="9" s="1"/>
  <c r="S37" i="9" a="1"/>
  <c r="S37" i="9" s="1"/>
  <c r="T37" i="9" a="1"/>
  <c r="T37" i="9" s="1"/>
  <c r="U37" i="9" a="1"/>
  <c r="U37" i="9" s="1"/>
  <c r="V37" i="9" a="1"/>
  <c r="V37" i="9" s="1"/>
  <c r="W37" i="9" a="1"/>
  <c r="W37" i="9" s="1"/>
  <c r="X37" i="9" a="1"/>
  <c r="X37" i="9" s="1"/>
  <c r="Y37" i="9" a="1"/>
  <c r="Y37" i="9" s="1"/>
  <c r="G38" i="9" a="1"/>
  <c r="G38" i="9" s="1"/>
  <c r="H38" i="9" a="1"/>
  <c r="H38" i="9" s="1"/>
  <c r="I38" i="9" a="1"/>
  <c r="I38" i="9" s="1"/>
  <c r="J38" i="9" a="1"/>
  <c r="J38" i="9" s="1"/>
  <c r="K38" i="9" a="1"/>
  <c r="K38" i="9" s="1"/>
  <c r="L38" i="9" a="1"/>
  <c r="L38" i="9" s="1"/>
  <c r="M38" i="9" a="1"/>
  <c r="M38" i="9" s="1"/>
  <c r="N38" i="9" a="1"/>
  <c r="N38" i="9" s="1"/>
  <c r="O38" i="9" a="1"/>
  <c r="O38" i="9" s="1"/>
  <c r="P38" i="9" a="1"/>
  <c r="P38" i="9" s="1"/>
  <c r="Q38" i="9" a="1"/>
  <c r="Q38" i="9" s="1"/>
  <c r="R38" i="9" a="1"/>
  <c r="R38" i="9" s="1"/>
  <c r="S38" i="9" a="1"/>
  <c r="S38" i="9" s="1"/>
  <c r="T38" i="9" a="1"/>
  <c r="T38" i="9" s="1"/>
  <c r="U38" i="9" a="1"/>
  <c r="U38" i="9" s="1"/>
  <c r="V38" i="9" a="1"/>
  <c r="V38" i="9" s="1"/>
  <c r="W38" i="9" a="1"/>
  <c r="W38" i="9" s="1"/>
  <c r="X38" i="9" a="1"/>
  <c r="X38" i="9" s="1"/>
  <c r="Y38" i="9" a="1"/>
  <c r="Y38" i="9" s="1"/>
  <c r="G39" i="9" a="1"/>
  <c r="G39" i="9" s="1"/>
  <c r="H39" i="9" a="1"/>
  <c r="H39" i="9" s="1"/>
  <c r="I39" i="9" a="1"/>
  <c r="I39" i="9" s="1"/>
  <c r="J39" i="9" a="1"/>
  <c r="J39" i="9" s="1"/>
  <c r="K39" i="9" a="1"/>
  <c r="K39" i="9" s="1"/>
  <c r="L39" i="9" a="1"/>
  <c r="L39" i="9" s="1"/>
  <c r="M39" i="9" a="1"/>
  <c r="M39" i="9" s="1"/>
  <c r="N39" i="9" a="1"/>
  <c r="N39" i="9" s="1"/>
  <c r="O39" i="9" a="1"/>
  <c r="O39" i="9" s="1"/>
  <c r="P39" i="9" a="1"/>
  <c r="P39" i="9" s="1"/>
  <c r="Q39" i="9" a="1"/>
  <c r="Q39" i="9" s="1"/>
  <c r="R39" i="9" a="1"/>
  <c r="R39" i="9" s="1"/>
  <c r="S39" i="9" a="1"/>
  <c r="S39" i="9" s="1"/>
  <c r="T39" i="9" a="1"/>
  <c r="T39" i="9" s="1"/>
  <c r="U39" i="9" a="1"/>
  <c r="U39" i="9" s="1"/>
  <c r="V39" i="9" a="1"/>
  <c r="V39" i="9" s="1"/>
  <c r="W39" i="9" a="1"/>
  <c r="W39" i="9" s="1"/>
  <c r="X39" i="9" a="1"/>
  <c r="X39" i="9" s="1"/>
  <c r="Y39" i="9" a="1"/>
  <c r="Y39" i="9" s="1"/>
  <c r="G40" i="9" a="1"/>
  <c r="G40" i="9" s="1"/>
  <c r="H40" i="9" a="1"/>
  <c r="H40" i="9" s="1"/>
  <c r="I40" i="9" a="1"/>
  <c r="I40" i="9" s="1"/>
  <c r="J40" i="9" a="1"/>
  <c r="J40" i="9" s="1"/>
  <c r="K40" i="9" a="1"/>
  <c r="K40" i="9" s="1"/>
  <c r="L40" i="9" a="1"/>
  <c r="L40" i="9" s="1"/>
  <c r="M40" i="9" a="1"/>
  <c r="M40" i="9" s="1"/>
  <c r="N40" i="9" a="1"/>
  <c r="N40" i="9" s="1"/>
  <c r="O40" i="9" a="1"/>
  <c r="O40" i="9" s="1"/>
  <c r="P40" i="9" a="1"/>
  <c r="P40" i="9" s="1"/>
  <c r="Q40" i="9" a="1"/>
  <c r="Q40" i="9" s="1"/>
  <c r="R40" i="9" a="1"/>
  <c r="R40" i="9" s="1"/>
  <c r="S40" i="9" a="1"/>
  <c r="S40" i="9" s="1"/>
  <c r="T40" i="9" a="1"/>
  <c r="T40" i="9" s="1"/>
  <c r="U40" i="9" a="1"/>
  <c r="U40" i="9" s="1"/>
  <c r="V40" i="9" a="1"/>
  <c r="V40" i="9" s="1"/>
  <c r="W40" i="9" a="1"/>
  <c r="W40" i="9" s="1"/>
  <c r="X40" i="9" a="1"/>
  <c r="X40" i="9" s="1"/>
  <c r="Y40" i="9" a="1"/>
  <c r="Y40" i="9" s="1"/>
  <c r="G45" i="9" a="1"/>
  <c r="G45" i="9" s="1"/>
  <c r="H45" i="9" a="1"/>
  <c r="H45" i="9" s="1"/>
  <c r="I45" i="9" a="1"/>
  <c r="I45" i="9" s="1"/>
  <c r="J45" i="9" a="1"/>
  <c r="J45" i="9" s="1"/>
  <c r="K45" i="9" a="1"/>
  <c r="K45" i="9" s="1"/>
  <c r="L45" i="9" a="1"/>
  <c r="L45" i="9" s="1"/>
  <c r="M45" i="9" a="1"/>
  <c r="M45" i="9" s="1"/>
  <c r="N45" i="9" a="1"/>
  <c r="N45" i="9" s="1"/>
  <c r="O45" i="9" a="1"/>
  <c r="O45" i="9" s="1"/>
  <c r="P45" i="9" a="1"/>
  <c r="P45" i="9" s="1"/>
  <c r="Q45" i="9" a="1"/>
  <c r="Q45" i="9" s="1"/>
  <c r="R45" i="9" a="1"/>
  <c r="R45" i="9" s="1"/>
  <c r="S45" i="9" a="1"/>
  <c r="S45" i="9" s="1"/>
  <c r="T45" i="9" a="1"/>
  <c r="T45" i="9" s="1"/>
  <c r="U45" i="9" a="1"/>
  <c r="U45" i="9" s="1"/>
  <c r="V45" i="9" a="1"/>
  <c r="V45" i="9" s="1"/>
  <c r="W45" i="9" a="1"/>
  <c r="W45" i="9" s="1"/>
  <c r="X45" i="9" a="1"/>
  <c r="X45" i="9" s="1"/>
  <c r="Y45" i="9" a="1"/>
  <c r="Y45" i="9" s="1"/>
  <c r="G46" i="9" a="1"/>
  <c r="G46" i="9" s="1"/>
  <c r="H46" i="9" a="1"/>
  <c r="H46" i="9" s="1"/>
  <c r="I46" i="9" a="1"/>
  <c r="I46" i="9" s="1"/>
  <c r="J46" i="9" a="1"/>
  <c r="J46" i="9" s="1"/>
  <c r="K46" i="9" a="1"/>
  <c r="K46" i="9" s="1"/>
  <c r="L46" i="9" a="1"/>
  <c r="L46" i="9" s="1"/>
  <c r="M46" i="9" a="1"/>
  <c r="M46" i="9" s="1"/>
  <c r="N46" i="9" a="1"/>
  <c r="N46" i="9" s="1"/>
  <c r="O46" i="9" a="1"/>
  <c r="O46" i="9" s="1"/>
  <c r="P46" i="9" a="1"/>
  <c r="P46" i="9" s="1"/>
  <c r="Q46" i="9" a="1"/>
  <c r="Q46" i="9" s="1"/>
  <c r="R46" i="9" a="1"/>
  <c r="R46" i="9" s="1"/>
  <c r="S46" i="9" a="1"/>
  <c r="S46" i="9" s="1"/>
  <c r="T46" i="9" a="1"/>
  <c r="T46" i="9" s="1"/>
  <c r="U46" i="9" a="1"/>
  <c r="U46" i="9" s="1"/>
  <c r="V46" i="9" a="1"/>
  <c r="V46" i="9" s="1"/>
  <c r="W46" i="9" a="1"/>
  <c r="W46" i="9" s="1"/>
  <c r="X46" i="9" a="1"/>
  <c r="X46" i="9" s="1"/>
  <c r="Y46" i="9" a="1"/>
  <c r="Y46" i="9" s="1"/>
  <c r="G47" i="9" a="1"/>
  <c r="G47" i="9" s="1"/>
  <c r="H47" i="9" a="1"/>
  <c r="H47" i="9" s="1"/>
  <c r="I47" i="9" a="1"/>
  <c r="I47" i="9" s="1"/>
  <c r="J47" i="9" a="1"/>
  <c r="J47" i="9" s="1"/>
  <c r="K47" i="9" a="1"/>
  <c r="K47" i="9" s="1"/>
  <c r="L47" i="9" a="1"/>
  <c r="L47" i="9" s="1"/>
  <c r="M47" i="9" a="1"/>
  <c r="M47" i="9" s="1"/>
  <c r="N47" i="9" a="1"/>
  <c r="N47" i="9" s="1"/>
  <c r="O47" i="9" a="1"/>
  <c r="O47" i="9" s="1"/>
  <c r="P47" i="9" a="1"/>
  <c r="P47" i="9" s="1"/>
  <c r="Q47" i="9" a="1"/>
  <c r="Q47" i="9" s="1"/>
  <c r="R47" i="9" a="1"/>
  <c r="R47" i="9" s="1"/>
  <c r="S47" i="9" a="1"/>
  <c r="S47" i="9" s="1"/>
  <c r="T47" i="9" a="1"/>
  <c r="T47" i="9" s="1"/>
  <c r="U47" i="9" a="1"/>
  <c r="U47" i="9" s="1"/>
  <c r="V47" i="9" a="1"/>
  <c r="V47" i="9" s="1"/>
  <c r="W47" i="9" a="1"/>
  <c r="W47" i="9" s="1"/>
  <c r="X47" i="9" a="1"/>
  <c r="X47" i="9" s="1"/>
  <c r="Y47" i="9" a="1"/>
  <c r="Y47" i="9" s="1"/>
  <c r="G48" i="9" a="1"/>
  <c r="G48" i="9" s="1"/>
  <c r="H48" i="9" a="1"/>
  <c r="H48" i="9" s="1"/>
  <c r="I48" i="9" a="1"/>
  <c r="I48" i="9" s="1"/>
  <c r="J48" i="9" a="1"/>
  <c r="J48" i="9" s="1"/>
  <c r="K48" i="9" a="1"/>
  <c r="K48" i="9" s="1"/>
  <c r="L48" i="9" a="1"/>
  <c r="L48" i="9" s="1"/>
  <c r="M48" i="9" a="1"/>
  <c r="M48" i="9" s="1"/>
  <c r="N48" i="9" a="1"/>
  <c r="N48" i="9" s="1"/>
  <c r="O48" i="9" a="1"/>
  <c r="O48" i="9" s="1"/>
  <c r="P48" i="9" a="1"/>
  <c r="P48" i="9" s="1"/>
  <c r="Q48" i="9" a="1"/>
  <c r="Q48" i="9" s="1"/>
  <c r="R48" i="9" a="1"/>
  <c r="R48" i="9" s="1"/>
  <c r="S48" i="9" a="1"/>
  <c r="S48" i="9" s="1"/>
  <c r="T48" i="9" a="1"/>
  <c r="T48" i="9" s="1"/>
  <c r="U48" i="9" a="1"/>
  <c r="U48" i="9" s="1"/>
  <c r="V48" i="9" a="1"/>
  <c r="V48" i="9" s="1"/>
  <c r="W48" i="9" a="1"/>
  <c r="W48" i="9" s="1"/>
  <c r="X48" i="9" a="1"/>
  <c r="X48" i="9" s="1"/>
  <c r="Y48" i="9" a="1"/>
  <c r="Y48" i="9" s="1"/>
  <c r="G49" i="9" a="1"/>
  <c r="G49" i="9" s="1"/>
  <c r="H49" i="9" a="1"/>
  <c r="H49" i="9" s="1"/>
  <c r="I49" i="9" a="1"/>
  <c r="I49" i="9" s="1"/>
  <c r="J49" i="9" a="1"/>
  <c r="J49" i="9" s="1"/>
  <c r="K49" i="9" a="1"/>
  <c r="K49" i="9" s="1"/>
  <c r="L49" i="9" a="1"/>
  <c r="L49" i="9" s="1"/>
  <c r="M49" i="9" a="1"/>
  <c r="M49" i="9" s="1"/>
  <c r="N49" i="9" a="1"/>
  <c r="N49" i="9" s="1"/>
  <c r="O49" i="9" a="1"/>
  <c r="O49" i="9" s="1"/>
  <c r="P49" i="9" a="1"/>
  <c r="P49" i="9" s="1"/>
  <c r="Q49" i="9" a="1"/>
  <c r="Q49" i="9" s="1"/>
  <c r="R49" i="9" a="1"/>
  <c r="R49" i="9" s="1"/>
  <c r="S49" i="9" a="1"/>
  <c r="S49" i="9" s="1"/>
  <c r="T49" i="9" a="1"/>
  <c r="T49" i="9" s="1"/>
  <c r="U49" i="9" a="1"/>
  <c r="U49" i="9" s="1"/>
  <c r="V49" i="9" a="1"/>
  <c r="V49" i="9" s="1"/>
  <c r="W49" i="9" a="1"/>
  <c r="W49" i="9" s="1"/>
  <c r="X49" i="9" a="1"/>
  <c r="X49" i="9" s="1"/>
  <c r="Y49" i="9" a="1"/>
  <c r="Y49" i="9" s="1"/>
  <c r="G50" i="9" a="1"/>
  <c r="G50" i="9" s="1"/>
  <c r="H50" i="9" a="1"/>
  <c r="H50" i="9" s="1"/>
  <c r="I50" i="9" a="1"/>
  <c r="I50" i="9" s="1"/>
  <c r="J50" i="9" a="1"/>
  <c r="J50" i="9" s="1"/>
  <c r="K50" i="9" a="1"/>
  <c r="K50" i="9" s="1"/>
  <c r="L50" i="9" a="1"/>
  <c r="L50" i="9" s="1"/>
  <c r="M50" i="9" a="1"/>
  <c r="M50" i="9" s="1"/>
  <c r="N50" i="9" a="1"/>
  <c r="N50" i="9" s="1"/>
  <c r="O50" i="9" a="1"/>
  <c r="O50" i="9" s="1"/>
  <c r="P50" i="9" a="1"/>
  <c r="P50" i="9" s="1"/>
  <c r="Q50" i="9" a="1"/>
  <c r="Q50" i="9" s="1"/>
  <c r="R50" i="9" a="1"/>
  <c r="R50" i="9" s="1"/>
  <c r="S50" i="9" a="1"/>
  <c r="S50" i="9" s="1"/>
  <c r="T50" i="9" a="1"/>
  <c r="T50" i="9" s="1"/>
  <c r="U50" i="9" a="1"/>
  <c r="U50" i="9" s="1"/>
  <c r="V50" i="9" a="1"/>
  <c r="V50" i="9" s="1"/>
  <c r="W50" i="9" a="1"/>
  <c r="W50" i="9" s="1"/>
  <c r="X50" i="9" a="1"/>
  <c r="X50" i="9" s="1"/>
  <c r="Y50" i="9" a="1"/>
  <c r="Y50" i="9" s="1"/>
  <c r="G51" i="9" a="1"/>
  <c r="G51" i="9" s="1"/>
  <c r="H51" i="9" a="1"/>
  <c r="H51" i="9" s="1"/>
  <c r="I51" i="9" a="1"/>
  <c r="I51" i="9" s="1"/>
  <c r="J51" i="9" a="1"/>
  <c r="J51" i="9" s="1"/>
  <c r="K51" i="9" a="1"/>
  <c r="K51" i="9" s="1"/>
  <c r="L51" i="9" a="1"/>
  <c r="L51" i="9" s="1"/>
  <c r="M51" i="9" a="1"/>
  <c r="M51" i="9" s="1"/>
  <c r="N51" i="9" a="1"/>
  <c r="N51" i="9" s="1"/>
  <c r="O51" i="9" a="1"/>
  <c r="O51" i="9" s="1"/>
  <c r="P51" i="9" a="1"/>
  <c r="P51" i="9" s="1"/>
  <c r="Q51" i="9" a="1"/>
  <c r="Q51" i="9" s="1"/>
  <c r="R51" i="9" a="1"/>
  <c r="R51" i="9" s="1"/>
  <c r="S51" i="9" a="1"/>
  <c r="S51" i="9" s="1"/>
  <c r="T51" i="9" a="1"/>
  <c r="T51" i="9" s="1"/>
  <c r="U51" i="9" a="1"/>
  <c r="U51" i="9" s="1"/>
  <c r="V51" i="9" a="1"/>
  <c r="V51" i="9" s="1"/>
  <c r="W51" i="9" a="1"/>
  <c r="W51" i="9" s="1"/>
  <c r="X51" i="9" a="1"/>
  <c r="X51" i="9" s="1"/>
  <c r="Y51" i="9" a="1"/>
  <c r="Y51" i="9" s="1"/>
  <c r="G52" i="9" a="1"/>
  <c r="G52" i="9" s="1"/>
  <c r="H52" i="9" a="1"/>
  <c r="H52" i="9" s="1"/>
  <c r="I52" i="9" a="1"/>
  <c r="I52" i="9" s="1"/>
  <c r="J52" i="9" a="1"/>
  <c r="J52" i="9" s="1"/>
  <c r="K52" i="9" a="1"/>
  <c r="K52" i="9" s="1"/>
  <c r="L52" i="9" a="1"/>
  <c r="L52" i="9" s="1"/>
  <c r="M52" i="9" a="1"/>
  <c r="M52" i="9" s="1"/>
  <c r="N52" i="9" a="1"/>
  <c r="N52" i="9" s="1"/>
  <c r="O52" i="9" a="1"/>
  <c r="O52" i="9" s="1"/>
  <c r="P52" i="9" a="1"/>
  <c r="P52" i="9" s="1"/>
  <c r="Q52" i="9" a="1"/>
  <c r="Q52" i="9" s="1"/>
  <c r="R52" i="9" a="1"/>
  <c r="R52" i="9" s="1"/>
  <c r="S52" i="9" a="1"/>
  <c r="S52" i="9" s="1"/>
  <c r="T52" i="9" a="1"/>
  <c r="T52" i="9" s="1"/>
  <c r="U52" i="9" a="1"/>
  <c r="U52" i="9" s="1"/>
  <c r="V52" i="9" a="1"/>
  <c r="V52" i="9" s="1"/>
  <c r="W52" i="9" a="1"/>
  <c r="W52" i="9" s="1"/>
  <c r="X52" i="9" a="1"/>
  <c r="X52" i="9" s="1"/>
  <c r="Y52" i="9" a="1"/>
  <c r="Y52" i="9" s="1"/>
  <c r="G54" i="9" a="1"/>
  <c r="G54" i="9" s="1"/>
  <c r="H54" i="9" a="1"/>
  <c r="H54" i="9" s="1"/>
  <c r="I54" i="9" a="1"/>
  <c r="I54" i="9" s="1"/>
  <c r="J54" i="9" a="1"/>
  <c r="J54" i="9" s="1"/>
  <c r="K54" i="9" a="1"/>
  <c r="K54" i="9" s="1"/>
  <c r="L54" i="9" a="1"/>
  <c r="L54" i="9" s="1"/>
  <c r="M54" i="9" a="1"/>
  <c r="M54" i="9" s="1"/>
  <c r="N54" i="9" a="1"/>
  <c r="N54" i="9" s="1"/>
  <c r="O54" i="9" a="1"/>
  <c r="O54" i="9" s="1"/>
  <c r="P54" i="9" a="1"/>
  <c r="P54" i="9" s="1"/>
  <c r="Q54" i="9" a="1"/>
  <c r="Q54" i="9" s="1"/>
  <c r="R54" i="9" a="1"/>
  <c r="R54" i="9" s="1"/>
  <c r="S54" i="9" a="1"/>
  <c r="S54" i="9" s="1"/>
  <c r="T54" i="9" a="1"/>
  <c r="T54" i="9" s="1"/>
  <c r="U54" i="9" a="1"/>
  <c r="U54" i="9" s="1"/>
  <c r="V54" i="9" a="1"/>
  <c r="V54" i="9" s="1"/>
  <c r="W54" i="9" a="1"/>
  <c r="W54" i="9" s="1"/>
  <c r="X54" i="9" a="1"/>
  <c r="X54" i="9" s="1"/>
  <c r="Y54" i="9" a="1"/>
  <c r="Y54" i="9" s="1"/>
  <c r="G55" i="9" a="1"/>
  <c r="G55" i="9" s="1"/>
  <c r="H55" i="9" a="1"/>
  <c r="H55" i="9" s="1"/>
  <c r="I55" i="9" a="1"/>
  <c r="I55" i="9" s="1"/>
  <c r="J55" i="9" a="1"/>
  <c r="J55" i="9" s="1"/>
  <c r="K55" i="9" a="1"/>
  <c r="K55" i="9" s="1"/>
  <c r="L55" i="9" a="1"/>
  <c r="L55" i="9" s="1"/>
  <c r="M55" i="9" a="1"/>
  <c r="M55" i="9" s="1"/>
  <c r="N55" i="9" a="1"/>
  <c r="N55" i="9" s="1"/>
  <c r="O55" i="9" a="1"/>
  <c r="O55" i="9" s="1"/>
  <c r="P55" i="9" a="1"/>
  <c r="P55" i="9" s="1"/>
  <c r="Q55" i="9" a="1"/>
  <c r="Q55" i="9" s="1"/>
  <c r="R55" i="9" a="1"/>
  <c r="R55" i="9" s="1"/>
  <c r="S55" i="9" a="1"/>
  <c r="S55" i="9" s="1"/>
  <c r="T55" i="9" a="1"/>
  <c r="T55" i="9" s="1"/>
  <c r="U55" i="9" a="1"/>
  <c r="U55" i="9" s="1"/>
  <c r="V55" i="9" a="1"/>
  <c r="V55" i="9" s="1"/>
  <c r="W55" i="9" a="1"/>
  <c r="W55" i="9" s="1"/>
  <c r="X55" i="9" a="1"/>
  <c r="X55" i="9" s="1"/>
  <c r="Y55" i="9" a="1"/>
  <c r="Y55" i="9" s="1"/>
  <c r="G56" i="9" a="1"/>
  <c r="G56" i="9" s="1"/>
  <c r="H56" i="9" a="1"/>
  <c r="H56" i="9" s="1"/>
  <c r="I56" i="9" a="1"/>
  <c r="I56" i="9" s="1"/>
  <c r="J56" i="9" a="1"/>
  <c r="J56" i="9" s="1"/>
  <c r="K56" i="9" a="1"/>
  <c r="K56" i="9" s="1"/>
  <c r="L56" i="9" a="1"/>
  <c r="L56" i="9" s="1"/>
  <c r="M56" i="9" a="1"/>
  <c r="M56" i="9" s="1"/>
  <c r="N56" i="9" a="1"/>
  <c r="N56" i="9" s="1"/>
  <c r="O56" i="9" a="1"/>
  <c r="O56" i="9" s="1"/>
  <c r="P56" i="9" a="1"/>
  <c r="P56" i="9" s="1"/>
  <c r="Q56" i="9" a="1"/>
  <c r="Q56" i="9" s="1"/>
  <c r="R56" i="9" a="1"/>
  <c r="R56" i="9" s="1"/>
  <c r="S56" i="9" a="1"/>
  <c r="S56" i="9" s="1"/>
  <c r="T56" i="9" a="1"/>
  <c r="T56" i="9" s="1"/>
  <c r="U56" i="9" a="1"/>
  <c r="U56" i="9" s="1"/>
  <c r="V56" i="9" a="1"/>
  <c r="V56" i="9" s="1"/>
  <c r="W56" i="9" a="1"/>
  <c r="W56" i="9" s="1"/>
  <c r="X56" i="9" a="1"/>
  <c r="X56" i="9" s="1"/>
  <c r="Y56" i="9" a="1"/>
  <c r="Y56" i="9" s="1"/>
  <c r="G57" i="9" a="1"/>
  <c r="G57" i="9" s="1"/>
  <c r="H57" i="9" a="1"/>
  <c r="H57" i="9" s="1"/>
  <c r="I57" i="9" a="1"/>
  <c r="I57" i="9" s="1"/>
  <c r="J57" i="9" a="1"/>
  <c r="J57" i="9" s="1"/>
  <c r="K57" i="9" a="1"/>
  <c r="K57" i="9" s="1"/>
  <c r="L57" i="9" a="1"/>
  <c r="L57" i="9" s="1"/>
  <c r="M57" i="9" a="1"/>
  <c r="M57" i="9" s="1"/>
  <c r="N57" i="9" a="1"/>
  <c r="N57" i="9" s="1"/>
  <c r="O57" i="9" a="1"/>
  <c r="O57" i="9" s="1"/>
  <c r="P57" i="9" a="1"/>
  <c r="P57" i="9" s="1"/>
  <c r="Q57" i="9" a="1"/>
  <c r="Q57" i="9" s="1"/>
  <c r="R57" i="9" a="1"/>
  <c r="R57" i="9" s="1"/>
  <c r="S57" i="9" a="1"/>
  <c r="S57" i="9" s="1"/>
  <c r="T57" i="9" a="1"/>
  <c r="T57" i="9" s="1"/>
  <c r="U57" i="9" a="1"/>
  <c r="U57" i="9" s="1"/>
  <c r="V57" i="9" a="1"/>
  <c r="V57" i="9" s="1"/>
  <c r="W57" i="9" a="1"/>
  <c r="W57" i="9" s="1"/>
  <c r="X57" i="9" a="1"/>
  <c r="X57" i="9" s="1"/>
  <c r="Y57" i="9" a="1"/>
  <c r="Y57" i="9" s="1"/>
  <c r="G58" i="9" a="1"/>
  <c r="G58" i="9" s="1"/>
  <c r="H58" i="9" a="1"/>
  <c r="H58" i="9" s="1"/>
  <c r="I58" i="9" a="1"/>
  <c r="I58" i="9" s="1"/>
  <c r="J58" i="9" a="1"/>
  <c r="J58" i="9" s="1"/>
  <c r="K58" i="9" a="1"/>
  <c r="K58" i="9" s="1"/>
  <c r="L58" i="9" a="1"/>
  <c r="L58" i="9" s="1"/>
  <c r="M58" i="9" a="1"/>
  <c r="M58" i="9" s="1"/>
  <c r="N58" i="9" a="1"/>
  <c r="N58" i="9" s="1"/>
  <c r="O58" i="9" a="1"/>
  <c r="O58" i="9" s="1"/>
  <c r="P58" i="9" a="1"/>
  <c r="P58" i="9" s="1"/>
  <c r="Q58" i="9" a="1"/>
  <c r="Q58" i="9" s="1"/>
  <c r="R58" i="9" a="1"/>
  <c r="R58" i="9" s="1"/>
  <c r="S58" i="9" a="1"/>
  <c r="S58" i="9" s="1"/>
  <c r="T58" i="9" a="1"/>
  <c r="T58" i="9" s="1"/>
  <c r="U58" i="9" a="1"/>
  <c r="U58" i="9" s="1"/>
  <c r="V58" i="9" a="1"/>
  <c r="V58" i="9" s="1"/>
  <c r="W58" i="9" a="1"/>
  <c r="W58" i="9" s="1"/>
  <c r="X58" i="9" a="1"/>
  <c r="X58" i="9" s="1"/>
  <c r="Y58" i="9" a="1"/>
  <c r="Y58" i="9" s="1"/>
  <c r="G59" i="9" a="1"/>
  <c r="G59" i="9" s="1"/>
  <c r="H59" i="9" a="1"/>
  <c r="H59" i="9" s="1"/>
  <c r="I59" i="9" a="1"/>
  <c r="I59" i="9" s="1"/>
  <c r="J59" i="9" a="1"/>
  <c r="J59" i="9" s="1"/>
  <c r="K59" i="9" a="1"/>
  <c r="K59" i="9" s="1"/>
  <c r="L59" i="9" a="1"/>
  <c r="L59" i="9" s="1"/>
  <c r="M59" i="9" a="1"/>
  <c r="M59" i="9" s="1"/>
  <c r="N59" i="9" a="1"/>
  <c r="N59" i="9" s="1"/>
  <c r="O59" i="9" a="1"/>
  <c r="O59" i="9" s="1"/>
  <c r="P59" i="9" a="1"/>
  <c r="P59" i="9" s="1"/>
  <c r="Q59" i="9" a="1"/>
  <c r="Q59" i="9" s="1"/>
  <c r="R59" i="9" a="1"/>
  <c r="R59" i="9" s="1"/>
  <c r="S59" i="9" a="1"/>
  <c r="S59" i="9" s="1"/>
  <c r="T59" i="9" a="1"/>
  <c r="T59" i="9" s="1"/>
  <c r="U59" i="9" a="1"/>
  <c r="U59" i="9" s="1"/>
  <c r="V59" i="9" a="1"/>
  <c r="V59" i="9" s="1"/>
  <c r="W59" i="9" a="1"/>
  <c r="W59" i="9" s="1"/>
  <c r="X59" i="9" a="1"/>
  <c r="X59" i="9" s="1"/>
  <c r="Y59" i="9" a="1"/>
  <c r="Y59" i="9" s="1"/>
  <c r="G60" i="9" a="1"/>
  <c r="G60" i="9" s="1"/>
  <c r="H60" i="9" a="1"/>
  <c r="H60" i="9" s="1"/>
  <c r="I60" i="9" a="1"/>
  <c r="I60" i="9" s="1"/>
  <c r="J60" i="9" a="1"/>
  <c r="J60" i="9" s="1"/>
  <c r="K60" i="9" a="1"/>
  <c r="K60" i="9" s="1"/>
  <c r="L60" i="9" a="1"/>
  <c r="L60" i="9" s="1"/>
  <c r="M60" i="9" a="1"/>
  <c r="M60" i="9" s="1"/>
  <c r="N60" i="9" a="1"/>
  <c r="N60" i="9" s="1"/>
  <c r="O60" i="9" a="1"/>
  <c r="O60" i="9" s="1"/>
  <c r="P60" i="9" a="1"/>
  <c r="P60" i="9" s="1"/>
  <c r="Q60" i="9" a="1"/>
  <c r="Q60" i="9" s="1"/>
  <c r="R60" i="9" a="1"/>
  <c r="R60" i="9" s="1"/>
  <c r="S60" i="9" a="1"/>
  <c r="S60" i="9" s="1"/>
  <c r="T60" i="9" a="1"/>
  <c r="T60" i="9" s="1"/>
  <c r="U60" i="9" a="1"/>
  <c r="U60" i="9" s="1"/>
  <c r="V60" i="9" a="1"/>
  <c r="V60" i="9" s="1"/>
  <c r="W60" i="9" a="1"/>
  <c r="W60" i="9" s="1"/>
  <c r="X60" i="9" a="1"/>
  <c r="X60" i="9" s="1"/>
  <c r="Y60" i="9" a="1"/>
  <c r="Y60" i="9" s="1"/>
  <c r="G61" i="9" a="1"/>
  <c r="G61" i="9" s="1"/>
  <c r="H61" i="9" a="1"/>
  <c r="H61" i="9" s="1"/>
  <c r="I61" i="9" a="1"/>
  <c r="I61" i="9" s="1"/>
  <c r="J61" i="9" a="1"/>
  <c r="J61" i="9" s="1"/>
  <c r="K61" i="9" a="1"/>
  <c r="K61" i="9" s="1"/>
  <c r="L61" i="9" a="1"/>
  <c r="L61" i="9" s="1"/>
  <c r="M61" i="9" a="1"/>
  <c r="M61" i="9" s="1"/>
  <c r="N61" i="9" a="1"/>
  <c r="N61" i="9" s="1"/>
  <c r="O61" i="9" a="1"/>
  <c r="O61" i="9" s="1"/>
  <c r="P61" i="9" a="1"/>
  <c r="P61" i="9" s="1"/>
  <c r="Q61" i="9" a="1"/>
  <c r="Q61" i="9" s="1"/>
  <c r="R61" i="9" a="1"/>
  <c r="R61" i="9" s="1"/>
  <c r="S61" i="9" a="1"/>
  <c r="S61" i="9" s="1"/>
  <c r="T61" i="9" a="1"/>
  <c r="T61" i="9" s="1"/>
  <c r="U61" i="9" a="1"/>
  <c r="U61" i="9" s="1"/>
  <c r="V61" i="9" a="1"/>
  <c r="V61" i="9" s="1"/>
  <c r="W61" i="9" a="1"/>
  <c r="W61" i="9" s="1"/>
  <c r="X61" i="9" a="1"/>
  <c r="X61" i="9" s="1"/>
  <c r="Y61" i="9" a="1"/>
  <c r="Y61" i="9" s="1"/>
  <c r="G62" i="9" a="1"/>
  <c r="G62" i="9" s="1"/>
  <c r="H62" i="9" a="1"/>
  <c r="H62" i="9" s="1"/>
  <c r="I62" i="9" a="1"/>
  <c r="I62" i="9" s="1"/>
  <c r="J62" i="9" a="1"/>
  <c r="J62" i="9" s="1"/>
  <c r="K62" i="9" a="1"/>
  <c r="K62" i="9" s="1"/>
  <c r="L62" i="9" a="1"/>
  <c r="L62" i="9" s="1"/>
  <c r="M62" i="9" a="1"/>
  <c r="M62" i="9" s="1"/>
  <c r="N62" i="9" a="1"/>
  <c r="N62" i="9" s="1"/>
  <c r="O62" i="9" a="1"/>
  <c r="O62" i="9" s="1"/>
  <c r="P62" i="9" a="1"/>
  <c r="P62" i="9" s="1"/>
  <c r="Q62" i="9" a="1"/>
  <c r="Q62" i="9" s="1"/>
  <c r="R62" i="9" a="1"/>
  <c r="R62" i="9" s="1"/>
  <c r="S62" i="9" a="1"/>
  <c r="S62" i="9" s="1"/>
  <c r="T62" i="9" a="1"/>
  <c r="T62" i="9" s="1"/>
  <c r="U62" i="9" a="1"/>
  <c r="U62" i="9" s="1"/>
  <c r="V62" i="9" a="1"/>
  <c r="V62" i="9" s="1"/>
  <c r="W62" i="9" a="1"/>
  <c r="W62" i="9" s="1"/>
  <c r="X62" i="9" a="1"/>
  <c r="X62" i="9" s="1"/>
  <c r="Y62" i="9" a="1"/>
  <c r="Y62" i="9" s="1"/>
  <c r="G63" i="9" a="1"/>
  <c r="G63" i="9" s="1"/>
  <c r="H63" i="9" a="1"/>
  <c r="H63" i="9" s="1"/>
  <c r="I63" i="9" a="1"/>
  <c r="I63" i="9" s="1"/>
  <c r="J63" i="9" a="1"/>
  <c r="J63" i="9" s="1"/>
  <c r="K63" i="9" a="1"/>
  <c r="K63" i="9" s="1"/>
  <c r="L63" i="9" a="1"/>
  <c r="L63" i="9" s="1"/>
  <c r="M63" i="9" a="1"/>
  <c r="M63" i="9" s="1"/>
  <c r="N63" i="9" a="1"/>
  <c r="N63" i="9" s="1"/>
  <c r="O63" i="9" a="1"/>
  <c r="O63" i="9" s="1"/>
  <c r="P63" i="9" a="1"/>
  <c r="P63" i="9" s="1"/>
  <c r="Q63" i="9" a="1"/>
  <c r="Q63" i="9" s="1"/>
  <c r="R63" i="9" a="1"/>
  <c r="R63" i="9" s="1"/>
  <c r="S63" i="9" a="1"/>
  <c r="S63" i="9" s="1"/>
  <c r="T63" i="9" a="1"/>
  <c r="T63" i="9" s="1"/>
  <c r="U63" i="9" a="1"/>
  <c r="U63" i="9" s="1"/>
  <c r="V63" i="9" a="1"/>
  <c r="V63" i="9" s="1"/>
  <c r="W63" i="9" a="1"/>
  <c r="W63" i="9" s="1"/>
  <c r="X63" i="9" a="1"/>
  <c r="X63" i="9" s="1"/>
  <c r="Y63" i="9" a="1"/>
  <c r="Y63" i="9" s="1"/>
  <c r="G64" i="9" a="1"/>
  <c r="G64" i="9" s="1"/>
  <c r="H64" i="9" a="1"/>
  <c r="H64" i="9" s="1"/>
  <c r="I64" i="9" a="1"/>
  <c r="I64" i="9" s="1"/>
  <c r="J64" i="9" a="1"/>
  <c r="J64" i="9" s="1"/>
  <c r="K64" i="9" a="1"/>
  <c r="K64" i="9" s="1"/>
  <c r="L64" i="9" a="1"/>
  <c r="L64" i="9" s="1"/>
  <c r="M64" i="9" a="1"/>
  <c r="M64" i="9" s="1"/>
  <c r="N64" i="9" a="1"/>
  <c r="N64" i="9" s="1"/>
  <c r="O64" i="9" a="1"/>
  <c r="O64" i="9" s="1"/>
  <c r="P64" i="9" a="1"/>
  <c r="P64" i="9" s="1"/>
  <c r="Q64" i="9" a="1"/>
  <c r="Q64" i="9" s="1"/>
  <c r="R64" i="9" a="1"/>
  <c r="R64" i="9" s="1"/>
  <c r="S64" i="9" a="1"/>
  <c r="S64" i="9" s="1"/>
  <c r="T64" i="9" a="1"/>
  <c r="T64" i="9" s="1"/>
  <c r="U64" i="9" a="1"/>
  <c r="U64" i="9" s="1"/>
  <c r="V64" i="9" a="1"/>
  <c r="V64" i="9" s="1"/>
  <c r="W64" i="9" a="1"/>
  <c r="W64" i="9" s="1"/>
  <c r="X64" i="9" a="1"/>
  <c r="X64" i="9" s="1"/>
  <c r="Y64" i="9" a="1"/>
  <c r="Y64" i="9" s="1"/>
  <c r="G65" i="9" a="1"/>
  <c r="G65" i="9" s="1"/>
  <c r="H65" i="9" a="1"/>
  <c r="H65" i="9" s="1"/>
  <c r="I65" i="9" a="1"/>
  <c r="I65" i="9" s="1"/>
  <c r="J65" i="9" a="1"/>
  <c r="J65" i="9" s="1"/>
  <c r="K65" i="9" a="1"/>
  <c r="K65" i="9" s="1"/>
  <c r="L65" i="9" a="1"/>
  <c r="L65" i="9" s="1"/>
  <c r="M65" i="9" a="1"/>
  <c r="M65" i="9" s="1"/>
  <c r="N65" i="9" a="1"/>
  <c r="N65" i="9" s="1"/>
  <c r="O65" i="9" a="1"/>
  <c r="O65" i="9" s="1"/>
  <c r="P65" i="9" a="1"/>
  <c r="P65" i="9" s="1"/>
  <c r="Q65" i="9" a="1"/>
  <c r="Q65" i="9" s="1"/>
  <c r="R65" i="9" a="1"/>
  <c r="R65" i="9" s="1"/>
  <c r="S65" i="9" a="1"/>
  <c r="S65" i="9" s="1"/>
  <c r="T65" i="9" a="1"/>
  <c r="T65" i="9" s="1"/>
  <c r="U65" i="9" a="1"/>
  <c r="U65" i="9" s="1"/>
  <c r="V65" i="9" a="1"/>
  <c r="V65" i="9" s="1"/>
  <c r="W65" i="9" a="1"/>
  <c r="W65" i="9" s="1"/>
  <c r="X65" i="9" a="1"/>
  <c r="X65" i="9" s="1"/>
  <c r="Y65" i="9" a="1"/>
  <c r="Y65" i="9" s="1"/>
  <c r="G66" i="9" a="1"/>
  <c r="G66" i="9" s="1"/>
  <c r="H66" i="9" a="1"/>
  <c r="H66" i="9" s="1"/>
  <c r="I66" i="9" a="1"/>
  <c r="I66" i="9" s="1"/>
  <c r="J66" i="9" a="1"/>
  <c r="J66" i="9" s="1"/>
  <c r="K66" i="9" a="1"/>
  <c r="K66" i="9" s="1"/>
  <c r="L66" i="9" a="1"/>
  <c r="L66" i="9" s="1"/>
  <c r="M66" i="9" a="1"/>
  <c r="M66" i="9" s="1"/>
  <c r="N66" i="9" a="1"/>
  <c r="N66" i="9" s="1"/>
  <c r="O66" i="9" a="1"/>
  <c r="O66" i="9" s="1"/>
  <c r="P66" i="9" a="1"/>
  <c r="P66" i="9" s="1"/>
  <c r="Q66" i="9" a="1"/>
  <c r="Q66" i="9" s="1"/>
  <c r="R66" i="9" a="1"/>
  <c r="R66" i="9" s="1"/>
  <c r="S66" i="9" a="1"/>
  <c r="S66" i="9" s="1"/>
  <c r="T66" i="9" a="1"/>
  <c r="T66" i="9" s="1"/>
  <c r="U66" i="9" a="1"/>
  <c r="U66" i="9" s="1"/>
  <c r="V66" i="9" a="1"/>
  <c r="V66" i="9" s="1"/>
  <c r="W66" i="9" a="1"/>
  <c r="W66" i="9" s="1"/>
  <c r="X66" i="9" a="1"/>
  <c r="X66" i="9" s="1"/>
  <c r="Y66" i="9" a="1"/>
  <c r="Y66" i="9" s="1"/>
  <c r="G67" i="9" a="1"/>
  <c r="G67" i="9" s="1"/>
  <c r="H67" i="9" a="1"/>
  <c r="H67" i="9" s="1"/>
  <c r="I67" i="9" a="1"/>
  <c r="I67" i="9" s="1"/>
  <c r="J67" i="9" a="1"/>
  <c r="J67" i="9" s="1"/>
  <c r="K67" i="9" a="1"/>
  <c r="K67" i="9" s="1"/>
  <c r="L67" i="9" a="1"/>
  <c r="L67" i="9" s="1"/>
  <c r="M67" i="9" a="1"/>
  <c r="M67" i="9" s="1"/>
  <c r="N67" i="9" a="1"/>
  <c r="N67" i="9" s="1"/>
  <c r="O67" i="9" a="1"/>
  <c r="O67" i="9" s="1"/>
  <c r="P67" i="9" a="1"/>
  <c r="P67" i="9" s="1"/>
  <c r="Q67" i="9" a="1"/>
  <c r="Q67" i="9" s="1"/>
  <c r="R67" i="9" a="1"/>
  <c r="R67" i="9" s="1"/>
  <c r="S67" i="9" a="1"/>
  <c r="S67" i="9" s="1"/>
  <c r="T67" i="9" a="1"/>
  <c r="T67" i="9" s="1"/>
  <c r="U67" i="9" a="1"/>
  <c r="U67" i="9" s="1"/>
  <c r="V67" i="9" a="1"/>
  <c r="V67" i="9" s="1"/>
  <c r="W67" i="9" a="1"/>
  <c r="W67" i="9" s="1"/>
  <c r="X67" i="9" a="1"/>
  <c r="X67" i="9" s="1"/>
  <c r="Y67" i="9" a="1"/>
  <c r="Y67" i="9" s="1"/>
  <c r="G68" i="9" a="1"/>
  <c r="G68" i="9" s="1"/>
  <c r="H68" i="9" a="1"/>
  <c r="H68" i="9" s="1"/>
  <c r="I68" i="9" a="1"/>
  <c r="I68" i="9" s="1"/>
  <c r="J68" i="9" a="1"/>
  <c r="J68" i="9" s="1"/>
  <c r="K68" i="9" a="1"/>
  <c r="K68" i="9" s="1"/>
  <c r="L68" i="9" a="1"/>
  <c r="L68" i="9" s="1"/>
  <c r="M68" i="9" a="1"/>
  <c r="M68" i="9" s="1"/>
  <c r="N68" i="9" a="1"/>
  <c r="N68" i="9" s="1"/>
  <c r="O68" i="9" a="1"/>
  <c r="O68" i="9" s="1"/>
  <c r="P68" i="9" a="1"/>
  <c r="P68" i="9" s="1"/>
  <c r="Q68" i="9" a="1"/>
  <c r="Q68" i="9" s="1"/>
  <c r="R68" i="9" a="1"/>
  <c r="R68" i="9" s="1"/>
  <c r="S68" i="9" a="1"/>
  <c r="S68" i="9" s="1"/>
  <c r="T68" i="9" a="1"/>
  <c r="T68" i="9" s="1"/>
  <c r="U68" i="9" a="1"/>
  <c r="U68" i="9" s="1"/>
  <c r="V68" i="9" a="1"/>
  <c r="V68" i="9" s="1"/>
  <c r="W68" i="9" a="1"/>
  <c r="W68" i="9" s="1"/>
  <c r="X68" i="9" a="1"/>
  <c r="X68" i="9" s="1"/>
  <c r="Y68" i="9" a="1"/>
  <c r="Y68" i="9" s="1"/>
  <c r="G69" i="9" a="1"/>
  <c r="G69" i="9" s="1"/>
  <c r="H69" i="9" a="1"/>
  <c r="H69" i="9" s="1"/>
  <c r="I69" i="9" a="1"/>
  <c r="I69" i="9" s="1"/>
  <c r="J69" i="9" a="1"/>
  <c r="J69" i="9" s="1"/>
  <c r="K69" i="9" a="1"/>
  <c r="K69" i="9" s="1"/>
  <c r="L69" i="9" a="1"/>
  <c r="L69" i="9" s="1"/>
  <c r="M69" i="9" a="1"/>
  <c r="M69" i="9" s="1"/>
  <c r="N69" i="9" a="1"/>
  <c r="N69" i="9" s="1"/>
  <c r="O69" i="9" a="1"/>
  <c r="O69" i="9" s="1"/>
  <c r="P69" i="9" a="1"/>
  <c r="P69" i="9" s="1"/>
  <c r="Q69" i="9" a="1"/>
  <c r="Q69" i="9" s="1"/>
  <c r="R69" i="9" a="1"/>
  <c r="R69" i="9" s="1"/>
  <c r="S69" i="9" a="1"/>
  <c r="S69" i="9" s="1"/>
  <c r="T69" i="9" a="1"/>
  <c r="T69" i="9" s="1"/>
  <c r="U69" i="9" a="1"/>
  <c r="U69" i="9" s="1"/>
  <c r="V69" i="9" a="1"/>
  <c r="V69" i="9" s="1"/>
  <c r="W69" i="9" a="1"/>
  <c r="W69" i="9" s="1"/>
  <c r="X69" i="9" a="1"/>
  <c r="X69" i="9" s="1"/>
  <c r="Y69" i="9" a="1"/>
  <c r="Y69" i="9" s="1"/>
  <c r="G70" i="9" a="1"/>
  <c r="G70" i="9" s="1"/>
  <c r="H70" i="9" a="1"/>
  <c r="H70" i="9" s="1"/>
  <c r="I70" i="9" a="1"/>
  <c r="I70" i="9" s="1"/>
  <c r="J70" i="9" a="1"/>
  <c r="J70" i="9" s="1"/>
  <c r="K70" i="9" a="1"/>
  <c r="K70" i="9" s="1"/>
  <c r="L70" i="9" a="1"/>
  <c r="L70" i="9" s="1"/>
  <c r="M70" i="9" a="1"/>
  <c r="M70" i="9" s="1"/>
  <c r="N70" i="9" a="1"/>
  <c r="N70" i="9" s="1"/>
  <c r="O70" i="9" a="1"/>
  <c r="O70" i="9" s="1"/>
  <c r="P70" i="9" a="1"/>
  <c r="P70" i="9" s="1"/>
  <c r="Q70" i="9" a="1"/>
  <c r="Q70" i="9" s="1"/>
  <c r="R70" i="9" a="1"/>
  <c r="R70" i="9" s="1"/>
  <c r="S70" i="9" a="1"/>
  <c r="S70" i="9" s="1"/>
  <c r="T70" i="9" a="1"/>
  <c r="T70" i="9" s="1"/>
  <c r="U70" i="9" a="1"/>
  <c r="U70" i="9" s="1"/>
  <c r="V70" i="9" a="1"/>
  <c r="V70" i="9" s="1"/>
  <c r="W70" i="9" a="1"/>
  <c r="W70" i="9" s="1"/>
  <c r="X70" i="9" a="1"/>
  <c r="X70" i="9" s="1"/>
  <c r="Y70" i="9" a="1"/>
  <c r="Y70" i="9" s="1"/>
  <c r="G71" i="9" a="1"/>
  <c r="G71" i="9" s="1"/>
  <c r="H71" i="9" a="1"/>
  <c r="H71" i="9" s="1"/>
  <c r="I71" i="9" a="1"/>
  <c r="I71" i="9" s="1"/>
  <c r="J71" i="9" a="1"/>
  <c r="J71" i="9" s="1"/>
  <c r="K71" i="9" a="1"/>
  <c r="K71" i="9" s="1"/>
  <c r="L71" i="9" a="1"/>
  <c r="L71" i="9" s="1"/>
  <c r="M71" i="9" a="1"/>
  <c r="M71" i="9" s="1"/>
  <c r="N71" i="9" a="1"/>
  <c r="N71" i="9" s="1"/>
  <c r="O71" i="9" a="1"/>
  <c r="O71" i="9" s="1"/>
  <c r="P71" i="9" a="1"/>
  <c r="P71" i="9" s="1"/>
  <c r="Q71" i="9" a="1"/>
  <c r="Q71" i="9" s="1"/>
  <c r="R71" i="9" a="1"/>
  <c r="R71" i="9" s="1"/>
  <c r="S71" i="9" a="1"/>
  <c r="S71" i="9" s="1"/>
  <c r="T71" i="9" a="1"/>
  <c r="T71" i="9" s="1"/>
  <c r="U71" i="9" a="1"/>
  <c r="U71" i="9" s="1"/>
  <c r="V71" i="9" a="1"/>
  <c r="V71" i="9" s="1"/>
  <c r="W71" i="9" a="1"/>
  <c r="W71" i="9" s="1"/>
  <c r="X71" i="9" a="1"/>
  <c r="X71" i="9" s="1"/>
  <c r="Y71" i="9" a="1"/>
  <c r="Y71" i="9" s="1"/>
  <c r="G72" i="9" a="1"/>
  <c r="G72" i="9" s="1"/>
  <c r="H72" i="9" a="1"/>
  <c r="H72" i="9" s="1"/>
  <c r="I72" i="9" a="1"/>
  <c r="I72" i="9" s="1"/>
  <c r="J72" i="9" a="1"/>
  <c r="J72" i="9" s="1"/>
  <c r="K72" i="9" a="1"/>
  <c r="K72" i="9" s="1"/>
  <c r="L72" i="9" a="1"/>
  <c r="L72" i="9" s="1"/>
  <c r="M72" i="9" a="1"/>
  <c r="M72" i="9" s="1"/>
  <c r="N72" i="9" a="1"/>
  <c r="N72" i="9" s="1"/>
  <c r="O72" i="9" a="1"/>
  <c r="O72" i="9" s="1"/>
  <c r="P72" i="9" a="1"/>
  <c r="P72" i="9" s="1"/>
  <c r="Q72" i="9" a="1"/>
  <c r="Q72" i="9" s="1"/>
  <c r="R72" i="9" a="1"/>
  <c r="R72" i="9" s="1"/>
  <c r="S72" i="9" a="1"/>
  <c r="S72" i="9" s="1"/>
  <c r="T72" i="9" a="1"/>
  <c r="T72" i="9" s="1"/>
  <c r="U72" i="9" a="1"/>
  <c r="U72" i="9" s="1"/>
  <c r="V72" i="9" a="1"/>
  <c r="V72" i="9" s="1"/>
  <c r="W72" i="9" a="1"/>
  <c r="W72" i="9" s="1"/>
  <c r="X72" i="9" a="1"/>
  <c r="X72" i="9" s="1"/>
  <c r="Y72" i="9" a="1"/>
  <c r="Y72" i="9" s="1"/>
  <c r="G73" i="9" a="1"/>
  <c r="G73" i="9" s="1"/>
  <c r="H73" i="9" a="1"/>
  <c r="H73" i="9" s="1"/>
  <c r="I73" i="9" a="1"/>
  <c r="I73" i="9" s="1"/>
  <c r="J73" i="9" a="1"/>
  <c r="J73" i="9" s="1"/>
  <c r="K73" i="9" a="1"/>
  <c r="K73" i="9" s="1"/>
  <c r="L73" i="9" a="1"/>
  <c r="L73" i="9" s="1"/>
  <c r="M73" i="9" a="1"/>
  <c r="M73" i="9" s="1"/>
  <c r="N73" i="9" a="1"/>
  <c r="N73" i="9" s="1"/>
  <c r="O73" i="9" a="1"/>
  <c r="O73" i="9" s="1"/>
  <c r="P73" i="9" a="1"/>
  <c r="P73" i="9" s="1"/>
  <c r="Q73" i="9" a="1"/>
  <c r="Q73" i="9" s="1"/>
  <c r="R73" i="9" a="1"/>
  <c r="R73" i="9" s="1"/>
  <c r="S73" i="9" a="1"/>
  <c r="S73" i="9" s="1"/>
  <c r="T73" i="9" a="1"/>
  <c r="T73" i="9" s="1"/>
  <c r="U73" i="9" a="1"/>
  <c r="U73" i="9" s="1"/>
  <c r="V73" i="9" a="1"/>
  <c r="V73" i="9" s="1"/>
  <c r="W73" i="9" a="1"/>
  <c r="W73" i="9" s="1"/>
  <c r="X73" i="9" a="1"/>
  <c r="X73" i="9" s="1"/>
  <c r="Y73" i="9" a="1"/>
  <c r="Y73" i="9" s="1"/>
  <c r="G74" i="9" a="1"/>
  <c r="G74" i="9" s="1"/>
  <c r="H74" i="9" a="1"/>
  <c r="H74" i="9" s="1"/>
  <c r="I74" i="9" a="1"/>
  <c r="I74" i="9" s="1"/>
  <c r="J74" i="9" a="1"/>
  <c r="J74" i="9" s="1"/>
  <c r="K74" i="9" a="1"/>
  <c r="K74" i="9" s="1"/>
  <c r="L74" i="9" a="1"/>
  <c r="L74" i="9" s="1"/>
  <c r="M74" i="9" a="1"/>
  <c r="M74" i="9" s="1"/>
  <c r="N74" i="9" a="1"/>
  <c r="N74" i="9" s="1"/>
  <c r="O74" i="9" a="1"/>
  <c r="O74" i="9" s="1"/>
  <c r="P74" i="9" a="1"/>
  <c r="P74" i="9" s="1"/>
  <c r="Q74" i="9" a="1"/>
  <c r="Q74" i="9" s="1"/>
  <c r="R74" i="9" a="1"/>
  <c r="R74" i="9" s="1"/>
  <c r="S74" i="9" a="1"/>
  <c r="S74" i="9" s="1"/>
  <c r="T74" i="9" a="1"/>
  <c r="T74" i="9" s="1"/>
  <c r="U74" i="9" a="1"/>
  <c r="U74" i="9" s="1"/>
  <c r="V74" i="9" a="1"/>
  <c r="V74" i="9" s="1"/>
  <c r="W74" i="9" a="1"/>
  <c r="W74" i="9" s="1"/>
  <c r="X74" i="9" a="1"/>
  <c r="X74" i="9" s="1"/>
  <c r="Y74" i="9" a="1"/>
  <c r="Y74" i="9" s="1"/>
  <c r="G75" i="9" a="1"/>
  <c r="G75" i="9" s="1"/>
  <c r="H75" i="9" a="1"/>
  <c r="H75" i="9" s="1"/>
  <c r="I75" i="9" a="1"/>
  <c r="I75" i="9" s="1"/>
  <c r="J75" i="9" a="1"/>
  <c r="J75" i="9" s="1"/>
  <c r="K75" i="9" a="1"/>
  <c r="K75" i="9" s="1"/>
  <c r="L75" i="9" a="1"/>
  <c r="L75" i="9" s="1"/>
  <c r="M75" i="9" a="1"/>
  <c r="M75" i="9" s="1"/>
  <c r="N75" i="9" a="1"/>
  <c r="N75" i="9" s="1"/>
  <c r="O75" i="9" a="1"/>
  <c r="O75" i="9" s="1"/>
  <c r="P75" i="9" a="1"/>
  <c r="P75" i="9" s="1"/>
  <c r="Q75" i="9" a="1"/>
  <c r="Q75" i="9" s="1"/>
  <c r="R75" i="9" a="1"/>
  <c r="R75" i="9" s="1"/>
  <c r="S75" i="9" a="1"/>
  <c r="S75" i="9" s="1"/>
  <c r="T75" i="9" a="1"/>
  <c r="T75" i="9" s="1"/>
  <c r="U75" i="9" a="1"/>
  <c r="U75" i="9" s="1"/>
  <c r="V75" i="9" a="1"/>
  <c r="V75" i="9" s="1"/>
  <c r="W75" i="9" a="1"/>
  <c r="W75" i="9" s="1"/>
  <c r="X75" i="9" a="1"/>
  <c r="X75" i="9" s="1"/>
  <c r="Y75" i="9" a="1"/>
  <c r="Y75" i="9" s="1"/>
  <c r="G76" i="9" a="1"/>
  <c r="G76" i="9" s="1"/>
  <c r="H76" i="9" a="1"/>
  <c r="H76" i="9" s="1"/>
  <c r="I76" i="9" a="1"/>
  <c r="I76" i="9" s="1"/>
  <c r="J76" i="9" a="1"/>
  <c r="J76" i="9" s="1"/>
  <c r="K76" i="9" a="1"/>
  <c r="K76" i="9" s="1"/>
  <c r="L76" i="9" a="1"/>
  <c r="L76" i="9" s="1"/>
  <c r="M76" i="9" a="1"/>
  <c r="M76" i="9" s="1"/>
  <c r="N76" i="9" a="1"/>
  <c r="N76" i="9" s="1"/>
  <c r="O76" i="9" a="1"/>
  <c r="O76" i="9" s="1"/>
  <c r="P76" i="9" a="1"/>
  <c r="P76" i="9" s="1"/>
  <c r="Q76" i="9" a="1"/>
  <c r="Q76" i="9" s="1"/>
  <c r="R76" i="9" a="1"/>
  <c r="R76" i="9" s="1"/>
  <c r="S76" i="9" a="1"/>
  <c r="S76" i="9" s="1"/>
  <c r="T76" i="9" a="1"/>
  <c r="T76" i="9" s="1"/>
  <c r="U76" i="9" a="1"/>
  <c r="U76" i="9" s="1"/>
  <c r="V76" i="9" a="1"/>
  <c r="V76" i="9" s="1"/>
  <c r="W76" i="9" a="1"/>
  <c r="W76" i="9" s="1"/>
  <c r="X76" i="9" a="1"/>
  <c r="X76" i="9" s="1"/>
  <c r="Y76" i="9" a="1"/>
  <c r="Y76" i="9" s="1"/>
  <c r="G77" i="9" a="1"/>
  <c r="G77" i="9" s="1"/>
  <c r="H77" i="9" a="1"/>
  <c r="H77" i="9" s="1"/>
  <c r="I77" i="9" a="1"/>
  <c r="I77" i="9" s="1"/>
  <c r="J77" i="9" a="1"/>
  <c r="J77" i="9" s="1"/>
  <c r="K77" i="9" a="1"/>
  <c r="K77" i="9" s="1"/>
  <c r="L77" i="9" a="1"/>
  <c r="L77" i="9" s="1"/>
  <c r="M77" i="9" a="1"/>
  <c r="M77" i="9" s="1"/>
  <c r="N77" i="9" a="1"/>
  <c r="N77" i="9" s="1"/>
  <c r="O77" i="9" a="1"/>
  <c r="O77" i="9" s="1"/>
  <c r="P77" i="9" a="1"/>
  <c r="P77" i="9" s="1"/>
  <c r="Q77" i="9" a="1"/>
  <c r="Q77" i="9" s="1"/>
  <c r="R77" i="9" a="1"/>
  <c r="R77" i="9" s="1"/>
  <c r="S77" i="9" a="1"/>
  <c r="S77" i="9" s="1"/>
  <c r="T77" i="9" a="1"/>
  <c r="T77" i="9" s="1"/>
  <c r="U77" i="9" a="1"/>
  <c r="U77" i="9" s="1"/>
  <c r="V77" i="9" a="1"/>
  <c r="V77" i="9" s="1"/>
  <c r="W77" i="9" a="1"/>
  <c r="W77" i="9" s="1"/>
  <c r="X77" i="9" a="1"/>
  <c r="X77" i="9" s="1"/>
  <c r="Y77" i="9" a="1"/>
  <c r="Y77" i="9" s="1"/>
  <c r="G82" i="9" a="1"/>
  <c r="G82" i="9" s="1"/>
  <c r="H82" i="9" a="1"/>
  <c r="H82" i="9" s="1"/>
  <c r="I82" i="9" a="1"/>
  <c r="I82" i="9" s="1"/>
  <c r="J82" i="9" a="1"/>
  <c r="J82" i="9" s="1"/>
  <c r="K82" i="9" a="1"/>
  <c r="K82" i="9" s="1"/>
  <c r="L82" i="9" a="1"/>
  <c r="L82" i="9" s="1"/>
  <c r="M82" i="9" a="1"/>
  <c r="M82" i="9" s="1"/>
  <c r="N82" i="9" a="1"/>
  <c r="N82" i="9" s="1"/>
  <c r="O82" i="9" a="1"/>
  <c r="O82" i="9" s="1"/>
  <c r="P82" i="9" a="1"/>
  <c r="P82" i="9" s="1"/>
  <c r="Q82" i="9" a="1"/>
  <c r="Q82" i="9" s="1"/>
  <c r="R82" i="9" a="1"/>
  <c r="R82" i="9" s="1"/>
  <c r="S82" i="9" a="1"/>
  <c r="S82" i="9" s="1"/>
  <c r="T82" i="9" a="1"/>
  <c r="T82" i="9" s="1"/>
  <c r="U82" i="9" a="1"/>
  <c r="U82" i="9" s="1"/>
  <c r="V82" i="9" a="1"/>
  <c r="V82" i="9" s="1"/>
  <c r="W82" i="9" a="1"/>
  <c r="W82" i="9" s="1"/>
  <c r="X82" i="9" a="1"/>
  <c r="X82" i="9" s="1"/>
  <c r="Y82" i="9" a="1"/>
  <c r="Y82" i="9" s="1"/>
  <c r="G83" i="9" a="1"/>
  <c r="G83" i="9" s="1"/>
  <c r="H83" i="9" a="1"/>
  <c r="H83" i="9" s="1"/>
  <c r="I83" i="9" a="1"/>
  <c r="I83" i="9" s="1"/>
  <c r="J83" i="9" a="1"/>
  <c r="J83" i="9" s="1"/>
  <c r="K83" i="9" a="1"/>
  <c r="K83" i="9" s="1"/>
  <c r="L83" i="9" a="1"/>
  <c r="L83" i="9" s="1"/>
  <c r="M83" i="9" a="1"/>
  <c r="M83" i="9" s="1"/>
  <c r="N83" i="9" a="1"/>
  <c r="N83" i="9" s="1"/>
  <c r="O83" i="9" a="1"/>
  <c r="O83" i="9" s="1"/>
  <c r="P83" i="9" a="1"/>
  <c r="P83" i="9" s="1"/>
  <c r="Q83" i="9" a="1"/>
  <c r="Q83" i="9" s="1"/>
  <c r="R83" i="9" a="1"/>
  <c r="R83" i="9" s="1"/>
  <c r="S83" i="9" a="1"/>
  <c r="S83" i="9" s="1"/>
  <c r="T83" i="9" a="1"/>
  <c r="T83" i="9" s="1"/>
  <c r="U83" i="9" a="1"/>
  <c r="U83" i="9" s="1"/>
  <c r="V83" i="9" a="1"/>
  <c r="V83" i="9" s="1"/>
  <c r="W83" i="9" a="1"/>
  <c r="W83" i="9" s="1"/>
  <c r="X83" i="9" a="1"/>
  <c r="X83" i="9" s="1"/>
  <c r="Y83" i="9" a="1"/>
  <c r="Y83" i="9" s="1"/>
  <c r="G84" i="9" a="1"/>
  <c r="G84" i="9" s="1"/>
  <c r="H84" i="9" a="1"/>
  <c r="H84" i="9" s="1"/>
  <c r="I84" i="9" a="1"/>
  <c r="I84" i="9" s="1"/>
  <c r="J84" i="9" a="1"/>
  <c r="J84" i="9" s="1"/>
  <c r="K84" i="9" a="1"/>
  <c r="K84" i="9" s="1"/>
  <c r="L84" i="9" a="1"/>
  <c r="L84" i="9" s="1"/>
  <c r="M84" i="9" a="1"/>
  <c r="M84" i="9" s="1"/>
  <c r="N84" i="9" a="1"/>
  <c r="N84" i="9" s="1"/>
  <c r="O84" i="9" a="1"/>
  <c r="O84" i="9" s="1"/>
  <c r="P84" i="9" a="1"/>
  <c r="P84" i="9" s="1"/>
  <c r="Q84" i="9" a="1"/>
  <c r="Q84" i="9" s="1"/>
  <c r="R84" i="9" a="1"/>
  <c r="R84" i="9" s="1"/>
  <c r="S84" i="9" a="1"/>
  <c r="S84" i="9" s="1"/>
  <c r="T84" i="9" a="1"/>
  <c r="T84" i="9" s="1"/>
  <c r="U84" i="9" a="1"/>
  <c r="U84" i="9" s="1"/>
  <c r="V84" i="9" a="1"/>
  <c r="V84" i="9" s="1"/>
  <c r="W84" i="9" a="1"/>
  <c r="W84" i="9" s="1"/>
  <c r="X84" i="9" a="1"/>
  <c r="X84" i="9" s="1"/>
  <c r="Y84" i="9" a="1"/>
  <c r="Y84" i="9" s="1"/>
  <c r="G85" i="9" a="1"/>
  <c r="G85" i="9" s="1"/>
  <c r="H85" i="9" a="1"/>
  <c r="H85" i="9" s="1"/>
  <c r="I85" i="9" a="1"/>
  <c r="I85" i="9" s="1"/>
  <c r="J85" i="9" a="1"/>
  <c r="J85" i="9" s="1"/>
  <c r="K85" i="9" a="1"/>
  <c r="K85" i="9" s="1"/>
  <c r="L85" i="9" a="1"/>
  <c r="L85" i="9" s="1"/>
  <c r="M85" i="9" a="1"/>
  <c r="M85" i="9" s="1"/>
  <c r="N85" i="9" a="1"/>
  <c r="N85" i="9" s="1"/>
  <c r="O85" i="9" a="1"/>
  <c r="O85" i="9" s="1"/>
  <c r="P85" i="9" a="1"/>
  <c r="P85" i="9" s="1"/>
  <c r="Q85" i="9" a="1"/>
  <c r="Q85" i="9" s="1"/>
  <c r="R85" i="9" a="1"/>
  <c r="R85" i="9" s="1"/>
  <c r="S85" i="9" a="1"/>
  <c r="S85" i="9" s="1"/>
  <c r="T85" i="9" a="1"/>
  <c r="T85" i="9" s="1"/>
  <c r="U85" i="9" a="1"/>
  <c r="U85" i="9" s="1"/>
  <c r="V85" i="9" a="1"/>
  <c r="V85" i="9" s="1"/>
  <c r="W85" i="9" a="1"/>
  <c r="W85" i="9" s="1"/>
  <c r="X85" i="9" a="1"/>
  <c r="X85" i="9" s="1"/>
  <c r="Y85" i="9" a="1"/>
  <c r="Y85" i="9" s="1"/>
  <c r="G86" i="9" a="1"/>
  <c r="G86" i="9" s="1"/>
  <c r="H86" i="9" a="1"/>
  <c r="H86" i="9" s="1"/>
  <c r="I86" i="9" a="1"/>
  <c r="I86" i="9" s="1"/>
  <c r="J86" i="9" a="1"/>
  <c r="J86" i="9" s="1"/>
  <c r="K86" i="9" a="1"/>
  <c r="K86" i="9" s="1"/>
  <c r="L86" i="9" a="1"/>
  <c r="L86" i="9" s="1"/>
  <c r="M86" i="9" a="1"/>
  <c r="M86" i="9" s="1"/>
  <c r="N86" i="9" a="1"/>
  <c r="N86" i="9" s="1"/>
  <c r="O86" i="9" a="1"/>
  <c r="O86" i="9" s="1"/>
  <c r="P86" i="9" a="1"/>
  <c r="P86" i="9" s="1"/>
  <c r="Q86" i="9" a="1"/>
  <c r="Q86" i="9" s="1"/>
  <c r="R86" i="9" a="1"/>
  <c r="R86" i="9" s="1"/>
  <c r="S86" i="9" a="1"/>
  <c r="S86" i="9" s="1"/>
  <c r="T86" i="9" a="1"/>
  <c r="T86" i="9" s="1"/>
  <c r="U86" i="9" a="1"/>
  <c r="U86" i="9" s="1"/>
  <c r="V86" i="9" a="1"/>
  <c r="V86" i="9" s="1"/>
  <c r="W86" i="9" a="1"/>
  <c r="W86" i="9" s="1"/>
  <c r="X86" i="9" a="1"/>
  <c r="X86" i="9" s="1"/>
  <c r="Y86" i="9" a="1"/>
  <c r="Y86" i="9" s="1"/>
  <c r="G87" i="9" a="1"/>
  <c r="G87" i="9" s="1"/>
  <c r="H87" i="9" a="1"/>
  <c r="H87" i="9" s="1"/>
  <c r="I87" i="9" a="1"/>
  <c r="I87" i="9" s="1"/>
  <c r="J87" i="9" a="1"/>
  <c r="J87" i="9" s="1"/>
  <c r="K87" i="9" a="1"/>
  <c r="K87" i="9" s="1"/>
  <c r="L87" i="9" a="1"/>
  <c r="L87" i="9" s="1"/>
  <c r="M87" i="9" a="1"/>
  <c r="M87" i="9" s="1"/>
  <c r="N87" i="9" a="1"/>
  <c r="N87" i="9" s="1"/>
  <c r="O87" i="9" a="1"/>
  <c r="O87" i="9" s="1"/>
  <c r="P87" i="9" a="1"/>
  <c r="P87" i="9" s="1"/>
  <c r="Q87" i="9" a="1"/>
  <c r="Q87" i="9" s="1"/>
  <c r="R87" i="9" a="1"/>
  <c r="R87" i="9" s="1"/>
  <c r="S87" i="9" a="1"/>
  <c r="S87" i="9" s="1"/>
  <c r="T87" i="9" a="1"/>
  <c r="T87" i="9" s="1"/>
  <c r="U87" i="9" a="1"/>
  <c r="U87" i="9" s="1"/>
  <c r="V87" i="9" a="1"/>
  <c r="V87" i="9" s="1"/>
  <c r="W87" i="9" a="1"/>
  <c r="W87" i="9" s="1"/>
  <c r="X87" i="9" a="1"/>
  <c r="X87" i="9" s="1"/>
  <c r="Y87" i="9" a="1"/>
  <c r="Y87" i="9" s="1"/>
  <c r="G88" i="9" a="1"/>
  <c r="G88" i="9" s="1"/>
  <c r="H88" i="9" a="1"/>
  <c r="H88" i="9" s="1"/>
  <c r="I88" i="9" a="1"/>
  <c r="I88" i="9" s="1"/>
  <c r="J88" i="9" a="1"/>
  <c r="J88" i="9" s="1"/>
  <c r="K88" i="9" a="1"/>
  <c r="K88" i="9" s="1"/>
  <c r="L88" i="9" a="1"/>
  <c r="L88" i="9" s="1"/>
  <c r="M88" i="9" a="1"/>
  <c r="M88" i="9" s="1"/>
  <c r="N88" i="9" a="1"/>
  <c r="N88" i="9" s="1"/>
  <c r="O88" i="9" a="1"/>
  <c r="O88" i="9" s="1"/>
  <c r="P88" i="9" a="1"/>
  <c r="P88" i="9" s="1"/>
  <c r="Q88" i="9" a="1"/>
  <c r="Q88" i="9" s="1"/>
  <c r="R88" i="9" a="1"/>
  <c r="R88" i="9" s="1"/>
  <c r="S88" i="9" a="1"/>
  <c r="S88" i="9" s="1"/>
  <c r="T88" i="9" a="1"/>
  <c r="T88" i="9" s="1"/>
  <c r="U88" i="9" a="1"/>
  <c r="U88" i="9" s="1"/>
  <c r="V88" i="9" a="1"/>
  <c r="V88" i="9" s="1"/>
  <c r="W88" i="9" a="1"/>
  <c r="W88" i="9" s="1"/>
  <c r="X88" i="9" a="1"/>
  <c r="X88" i="9" s="1"/>
  <c r="Y88" i="9" a="1"/>
  <c r="Y88" i="9" s="1"/>
  <c r="G89" i="9" a="1"/>
  <c r="G89" i="9" s="1"/>
  <c r="H89" i="9" a="1"/>
  <c r="H89" i="9" s="1"/>
  <c r="I89" i="9" a="1"/>
  <c r="I89" i="9" s="1"/>
  <c r="J89" i="9" a="1"/>
  <c r="J89" i="9" s="1"/>
  <c r="K89" i="9" a="1"/>
  <c r="K89" i="9" s="1"/>
  <c r="L89" i="9" a="1"/>
  <c r="L89" i="9" s="1"/>
  <c r="M89" i="9" a="1"/>
  <c r="M89" i="9" s="1"/>
  <c r="N89" i="9" a="1"/>
  <c r="N89" i="9" s="1"/>
  <c r="O89" i="9" a="1"/>
  <c r="O89" i="9" s="1"/>
  <c r="P89" i="9" a="1"/>
  <c r="P89" i="9" s="1"/>
  <c r="Q89" i="9" a="1"/>
  <c r="Q89" i="9" s="1"/>
  <c r="R89" i="9" a="1"/>
  <c r="R89" i="9" s="1"/>
  <c r="S89" i="9" a="1"/>
  <c r="S89" i="9" s="1"/>
  <c r="T89" i="9" a="1"/>
  <c r="T89" i="9" s="1"/>
  <c r="U89" i="9" a="1"/>
  <c r="U89" i="9" s="1"/>
  <c r="V89" i="9" a="1"/>
  <c r="V89" i="9" s="1"/>
  <c r="W89" i="9" a="1"/>
  <c r="W89" i="9" s="1"/>
  <c r="X89" i="9" a="1"/>
  <c r="X89" i="9" s="1"/>
  <c r="Y89" i="9" a="1"/>
  <c r="Y89" i="9" s="1"/>
  <c r="G90" i="9" a="1"/>
  <c r="G90" i="9" s="1"/>
  <c r="H90" i="9" a="1"/>
  <c r="H90" i="9" s="1"/>
  <c r="I90" i="9" a="1"/>
  <c r="I90" i="9" s="1"/>
  <c r="J90" i="9" a="1"/>
  <c r="J90" i="9" s="1"/>
  <c r="K90" i="9" a="1"/>
  <c r="K90" i="9" s="1"/>
  <c r="L90" i="9" a="1"/>
  <c r="L90" i="9" s="1"/>
  <c r="M90" i="9" a="1"/>
  <c r="M90" i="9" s="1"/>
  <c r="N90" i="9" a="1"/>
  <c r="N90" i="9" s="1"/>
  <c r="O90" i="9" a="1"/>
  <c r="O90" i="9" s="1"/>
  <c r="P90" i="9" a="1"/>
  <c r="P90" i="9" s="1"/>
  <c r="Q90" i="9" a="1"/>
  <c r="Q90" i="9" s="1"/>
  <c r="R90" i="9" a="1"/>
  <c r="R90" i="9" s="1"/>
  <c r="S90" i="9" a="1"/>
  <c r="S90" i="9" s="1"/>
  <c r="T90" i="9" a="1"/>
  <c r="T90" i="9" s="1"/>
  <c r="U90" i="9" a="1"/>
  <c r="U90" i="9" s="1"/>
  <c r="V90" i="9" a="1"/>
  <c r="V90" i="9" s="1"/>
  <c r="W90" i="9" a="1"/>
  <c r="W90" i="9" s="1"/>
  <c r="X90" i="9" a="1"/>
  <c r="X90" i="9" s="1"/>
  <c r="Y90" i="9" a="1"/>
  <c r="Y90" i="9" s="1"/>
  <c r="G91" i="9" a="1"/>
  <c r="G91" i="9" s="1"/>
  <c r="H91" i="9" a="1"/>
  <c r="H91" i="9" s="1"/>
  <c r="I91" i="9" a="1"/>
  <c r="I91" i="9" s="1"/>
  <c r="J91" i="9" a="1"/>
  <c r="J91" i="9" s="1"/>
  <c r="K91" i="9" a="1"/>
  <c r="K91" i="9" s="1"/>
  <c r="L91" i="9" a="1"/>
  <c r="L91" i="9" s="1"/>
  <c r="M91" i="9" a="1"/>
  <c r="M91" i="9" s="1"/>
  <c r="N91" i="9" a="1"/>
  <c r="N91" i="9" s="1"/>
  <c r="O91" i="9" a="1"/>
  <c r="O91" i="9" s="1"/>
  <c r="P91" i="9" a="1"/>
  <c r="P91" i="9" s="1"/>
  <c r="Q91" i="9" a="1"/>
  <c r="Q91" i="9" s="1"/>
  <c r="R91" i="9" a="1"/>
  <c r="R91" i="9" s="1"/>
  <c r="S91" i="9" a="1"/>
  <c r="S91" i="9" s="1"/>
  <c r="T91" i="9" a="1"/>
  <c r="T91" i="9" s="1"/>
  <c r="U91" i="9" a="1"/>
  <c r="U91" i="9" s="1"/>
  <c r="V91" i="9" a="1"/>
  <c r="V91" i="9" s="1"/>
  <c r="W91" i="9" a="1"/>
  <c r="W91" i="9" s="1"/>
  <c r="X91" i="9" a="1"/>
  <c r="X91" i="9" s="1"/>
  <c r="Y91" i="9" a="1"/>
  <c r="Y91" i="9" s="1"/>
  <c r="G92" i="9" a="1"/>
  <c r="G92" i="9" s="1"/>
  <c r="H92" i="9" a="1"/>
  <c r="H92" i="9" s="1"/>
  <c r="I92" i="9" a="1"/>
  <c r="I92" i="9" s="1"/>
  <c r="J92" i="9" a="1"/>
  <c r="J92" i="9" s="1"/>
  <c r="K92" i="9" a="1"/>
  <c r="K92" i="9" s="1"/>
  <c r="L92" i="9" a="1"/>
  <c r="L92" i="9" s="1"/>
  <c r="M92" i="9" a="1"/>
  <c r="M92" i="9" s="1"/>
  <c r="N92" i="9" a="1"/>
  <c r="N92" i="9" s="1"/>
  <c r="O92" i="9" a="1"/>
  <c r="O92" i="9" s="1"/>
  <c r="P92" i="9" a="1"/>
  <c r="P92" i="9" s="1"/>
  <c r="Q92" i="9" a="1"/>
  <c r="Q92" i="9" s="1"/>
  <c r="R92" i="9" a="1"/>
  <c r="R92" i="9" s="1"/>
  <c r="S92" i="9" a="1"/>
  <c r="S92" i="9" s="1"/>
  <c r="T92" i="9" a="1"/>
  <c r="T92" i="9" s="1"/>
  <c r="U92" i="9" a="1"/>
  <c r="U92" i="9" s="1"/>
  <c r="V92" i="9" a="1"/>
  <c r="V92" i="9" s="1"/>
  <c r="W92" i="9" a="1"/>
  <c r="W92" i="9" s="1"/>
  <c r="X92" i="9" a="1"/>
  <c r="X92" i="9" s="1"/>
  <c r="Y92" i="9" a="1"/>
  <c r="Y92" i="9" s="1"/>
  <c r="G93" i="9" a="1"/>
  <c r="G93" i="9" s="1"/>
  <c r="H93" i="9" a="1"/>
  <c r="H93" i="9" s="1"/>
  <c r="I93" i="9" a="1"/>
  <c r="I93" i="9" s="1"/>
  <c r="J93" i="9" a="1"/>
  <c r="J93" i="9" s="1"/>
  <c r="K93" i="9" a="1"/>
  <c r="K93" i="9" s="1"/>
  <c r="L93" i="9" a="1"/>
  <c r="L93" i="9" s="1"/>
  <c r="M93" i="9" a="1"/>
  <c r="M93" i="9" s="1"/>
  <c r="N93" i="9" a="1"/>
  <c r="N93" i="9" s="1"/>
  <c r="O93" i="9" a="1"/>
  <c r="O93" i="9" s="1"/>
  <c r="P93" i="9" a="1"/>
  <c r="P93" i="9" s="1"/>
  <c r="Q93" i="9" a="1"/>
  <c r="Q93" i="9" s="1"/>
  <c r="R93" i="9" a="1"/>
  <c r="R93" i="9" s="1"/>
  <c r="S93" i="9" a="1"/>
  <c r="S93" i="9" s="1"/>
  <c r="T93" i="9" a="1"/>
  <c r="T93" i="9" s="1"/>
  <c r="U93" i="9" a="1"/>
  <c r="U93" i="9" s="1"/>
  <c r="V93" i="9" a="1"/>
  <c r="V93" i="9" s="1"/>
  <c r="W93" i="9" a="1"/>
  <c r="W93" i="9" s="1"/>
  <c r="X93" i="9" a="1"/>
  <c r="X93" i="9" s="1"/>
  <c r="Y93" i="9" a="1"/>
  <c r="Y93" i="9" s="1"/>
  <c r="G94" i="9" a="1"/>
  <c r="G94" i="9" s="1"/>
  <c r="H94" i="9" a="1"/>
  <c r="H94" i="9" s="1"/>
  <c r="I94" i="9" a="1"/>
  <c r="I94" i="9" s="1"/>
  <c r="J94" i="9" a="1"/>
  <c r="J94" i="9" s="1"/>
  <c r="K94" i="9" a="1"/>
  <c r="K94" i="9" s="1"/>
  <c r="L94" i="9" a="1"/>
  <c r="L94" i="9" s="1"/>
  <c r="M94" i="9" a="1"/>
  <c r="M94" i="9" s="1"/>
  <c r="N94" i="9" a="1"/>
  <c r="N94" i="9" s="1"/>
  <c r="O94" i="9" a="1"/>
  <c r="O94" i="9" s="1"/>
  <c r="P94" i="9" a="1"/>
  <c r="P94" i="9" s="1"/>
  <c r="Q94" i="9" a="1"/>
  <c r="Q94" i="9" s="1"/>
  <c r="R94" i="9" a="1"/>
  <c r="R94" i="9" s="1"/>
  <c r="S94" i="9" a="1"/>
  <c r="S94" i="9" s="1"/>
  <c r="T94" i="9" a="1"/>
  <c r="T94" i="9" s="1"/>
  <c r="U94" i="9" a="1"/>
  <c r="U94" i="9" s="1"/>
  <c r="V94" i="9" a="1"/>
  <c r="V94" i="9" s="1"/>
  <c r="W94" i="9" a="1"/>
  <c r="W94" i="9" s="1"/>
  <c r="X94" i="9" a="1"/>
  <c r="X94" i="9" s="1"/>
  <c r="Y94" i="9" a="1"/>
  <c r="Y94" i="9" s="1"/>
  <c r="G95" i="9" a="1"/>
  <c r="G95" i="9" s="1"/>
  <c r="H95" i="9" a="1"/>
  <c r="H95" i="9" s="1"/>
  <c r="I95" i="9" a="1"/>
  <c r="I95" i="9" s="1"/>
  <c r="J95" i="9" a="1"/>
  <c r="J95" i="9" s="1"/>
  <c r="K95" i="9" a="1"/>
  <c r="K95" i="9" s="1"/>
  <c r="L95" i="9" a="1"/>
  <c r="L95" i="9" s="1"/>
  <c r="M95" i="9" a="1"/>
  <c r="M95" i="9" s="1"/>
  <c r="N95" i="9" a="1"/>
  <c r="N95" i="9" s="1"/>
  <c r="O95" i="9" a="1"/>
  <c r="O95" i="9" s="1"/>
  <c r="P95" i="9" a="1"/>
  <c r="P95" i="9" s="1"/>
  <c r="Q95" i="9" a="1"/>
  <c r="Q95" i="9" s="1"/>
  <c r="R95" i="9" a="1"/>
  <c r="R95" i="9" s="1"/>
  <c r="S95" i="9" a="1"/>
  <c r="S95" i="9" s="1"/>
  <c r="T95" i="9" a="1"/>
  <c r="T95" i="9" s="1"/>
  <c r="U95" i="9" a="1"/>
  <c r="U95" i="9" s="1"/>
  <c r="V95" i="9" a="1"/>
  <c r="V95" i="9" s="1"/>
  <c r="W95" i="9" a="1"/>
  <c r="W95" i="9" s="1"/>
  <c r="X95" i="9" a="1"/>
  <c r="X95" i="9" s="1"/>
  <c r="Y95" i="9" a="1"/>
  <c r="Y95" i="9" s="1"/>
  <c r="G96" i="9" a="1"/>
  <c r="G96" i="9" s="1"/>
  <c r="H96" i="9" a="1"/>
  <c r="H96" i="9" s="1"/>
  <c r="I96" i="9" a="1"/>
  <c r="I96" i="9" s="1"/>
  <c r="J96" i="9" a="1"/>
  <c r="J96" i="9" s="1"/>
  <c r="K96" i="9" a="1"/>
  <c r="K96" i="9" s="1"/>
  <c r="L96" i="9" a="1"/>
  <c r="L96" i="9" s="1"/>
  <c r="M96" i="9" a="1"/>
  <c r="M96" i="9" s="1"/>
  <c r="N96" i="9" a="1"/>
  <c r="N96" i="9" s="1"/>
  <c r="O96" i="9" a="1"/>
  <c r="O96" i="9" s="1"/>
  <c r="P96" i="9" a="1"/>
  <c r="P96" i="9" s="1"/>
  <c r="Q96" i="9" a="1"/>
  <c r="Q96" i="9" s="1"/>
  <c r="R96" i="9" a="1"/>
  <c r="R96" i="9" s="1"/>
  <c r="S96" i="9" a="1"/>
  <c r="S96" i="9" s="1"/>
  <c r="T96" i="9" a="1"/>
  <c r="T96" i="9" s="1"/>
  <c r="U96" i="9" a="1"/>
  <c r="U96" i="9" s="1"/>
  <c r="V96" i="9" a="1"/>
  <c r="V96" i="9" s="1"/>
  <c r="W96" i="9" a="1"/>
  <c r="W96" i="9" s="1"/>
  <c r="X96" i="9" a="1"/>
  <c r="X96" i="9" s="1"/>
  <c r="Y96" i="9" a="1"/>
  <c r="Y96" i="9" s="1"/>
  <c r="G97" i="9" a="1"/>
  <c r="G97" i="9" s="1"/>
  <c r="H97" i="9" a="1"/>
  <c r="H97" i="9" s="1"/>
  <c r="I97" i="9" a="1"/>
  <c r="I97" i="9" s="1"/>
  <c r="J97" i="9" a="1"/>
  <c r="J97" i="9" s="1"/>
  <c r="K97" i="9" a="1"/>
  <c r="K97" i="9" s="1"/>
  <c r="L97" i="9" a="1"/>
  <c r="L97" i="9" s="1"/>
  <c r="M97" i="9" a="1"/>
  <c r="M97" i="9" s="1"/>
  <c r="N97" i="9" a="1"/>
  <c r="N97" i="9" s="1"/>
  <c r="O97" i="9" a="1"/>
  <c r="O97" i="9" s="1"/>
  <c r="P97" i="9" a="1"/>
  <c r="P97" i="9" s="1"/>
  <c r="Q97" i="9" a="1"/>
  <c r="Q97" i="9" s="1"/>
  <c r="R97" i="9" a="1"/>
  <c r="R97" i="9" s="1"/>
  <c r="S97" i="9" a="1"/>
  <c r="S97" i="9" s="1"/>
  <c r="T97" i="9" a="1"/>
  <c r="T97" i="9" s="1"/>
  <c r="U97" i="9" a="1"/>
  <c r="U97" i="9" s="1"/>
  <c r="V97" i="9" a="1"/>
  <c r="V97" i="9" s="1"/>
  <c r="W97" i="9" a="1"/>
  <c r="W97" i="9" s="1"/>
  <c r="X97" i="9" a="1"/>
  <c r="X97" i="9" s="1"/>
  <c r="Y97" i="9" a="1"/>
  <c r="Y97" i="9" s="1"/>
  <c r="G98" i="9" a="1"/>
  <c r="G98" i="9" s="1"/>
  <c r="H98" i="9" a="1"/>
  <c r="H98" i="9" s="1"/>
  <c r="I98" i="9" a="1"/>
  <c r="I98" i="9" s="1"/>
  <c r="J98" i="9" a="1"/>
  <c r="J98" i="9" s="1"/>
  <c r="K98" i="9" a="1"/>
  <c r="K98" i="9" s="1"/>
  <c r="L98" i="9" a="1"/>
  <c r="L98" i="9" s="1"/>
  <c r="M98" i="9" a="1"/>
  <c r="M98" i="9" s="1"/>
  <c r="N98" i="9" a="1"/>
  <c r="N98" i="9" s="1"/>
  <c r="O98" i="9" a="1"/>
  <c r="O98" i="9" s="1"/>
  <c r="P98" i="9" a="1"/>
  <c r="P98" i="9" s="1"/>
  <c r="Q98" i="9" a="1"/>
  <c r="Q98" i="9" s="1"/>
  <c r="R98" i="9" a="1"/>
  <c r="R98" i="9" s="1"/>
  <c r="S98" i="9" a="1"/>
  <c r="S98" i="9" s="1"/>
  <c r="T98" i="9" a="1"/>
  <c r="T98" i="9" s="1"/>
  <c r="U98" i="9" a="1"/>
  <c r="U98" i="9" s="1"/>
  <c r="V98" i="9" a="1"/>
  <c r="V98" i="9" s="1"/>
  <c r="W98" i="9" a="1"/>
  <c r="W98" i="9" s="1"/>
  <c r="X98" i="9" a="1"/>
  <c r="X98" i="9" s="1"/>
  <c r="Y98" i="9" a="1"/>
  <c r="Y98" i="9" s="1"/>
  <c r="G99" i="9" a="1"/>
  <c r="G99" i="9" s="1"/>
  <c r="H99" i="9" a="1"/>
  <c r="H99" i="9" s="1"/>
  <c r="I99" i="9" a="1"/>
  <c r="I99" i="9" s="1"/>
  <c r="J99" i="9" a="1"/>
  <c r="J99" i="9" s="1"/>
  <c r="K99" i="9" a="1"/>
  <c r="K99" i="9" s="1"/>
  <c r="L99" i="9" a="1"/>
  <c r="L99" i="9" s="1"/>
  <c r="M99" i="9" a="1"/>
  <c r="M99" i="9" s="1"/>
  <c r="N99" i="9" a="1"/>
  <c r="N99" i="9" s="1"/>
  <c r="O99" i="9" a="1"/>
  <c r="O99" i="9" s="1"/>
  <c r="P99" i="9" a="1"/>
  <c r="P99" i="9" s="1"/>
  <c r="Q99" i="9" a="1"/>
  <c r="Q99" i="9" s="1"/>
  <c r="R99" i="9" a="1"/>
  <c r="R99" i="9" s="1"/>
  <c r="S99" i="9" a="1"/>
  <c r="S99" i="9" s="1"/>
  <c r="T99" i="9" a="1"/>
  <c r="T99" i="9" s="1"/>
  <c r="U99" i="9" a="1"/>
  <c r="U99" i="9" s="1"/>
  <c r="V99" i="9" a="1"/>
  <c r="V99" i="9" s="1"/>
  <c r="W99" i="9" a="1"/>
  <c r="W99" i="9" s="1"/>
  <c r="X99" i="9" a="1"/>
  <c r="X99" i="9" s="1"/>
  <c r="Y99" i="9" a="1"/>
  <c r="Y99" i="9" s="1"/>
  <c r="G100" i="9" a="1"/>
  <c r="G100" i="9" s="1"/>
  <c r="H100" i="9" a="1"/>
  <c r="H100" i="9" s="1"/>
  <c r="I100" i="9" a="1"/>
  <c r="I100" i="9" s="1"/>
  <c r="J100" i="9" a="1"/>
  <c r="J100" i="9" s="1"/>
  <c r="K100" i="9" a="1"/>
  <c r="K100" i="9" s="1"/>
  <c r="L100" i="9" a="1"/>
  <c r="L100" i="9" s="1"/>
  <c r="M100" i="9" a="1"/>
  <c r="M100" i="9" s="1"/>
  <c r="N100" i="9" a="1"/>
  <c r="N100" i="9" s="1"/>
  <c r="O100" i="9" a="1"/>
  <c r="O100" i="9" s="1"/>
  <c r="P100" i="9" a="1"/>
  <c r="P100" i="9" s="1"/>
  <c r="Q100" i="9" a="1"/>
  <c r="Q100" i="9" s="1"/>
  <c r="R100" i="9" a="1"/>
  <c r="R100" i="9" s="1"/>
  <c r="S100" i="9" a="1"/>
  <c r="S100" i="9" s="1"/>
  <c r="T100" i="9" a="1"/>
  <c r="T100" i="9" s="1"/>
  <c r="U100" i="9" a="1"/>
  <c r="U100" i="9" s="1"/>
  <c r="V100" i="9" a="1"/>
  <c r="V100" i="9" s="1"/>
  <c r="W100" i="9" a="1"/>
  <c r="W100" i="9" s="1"/>
  <c r="X100" i="9" a="1"/>
  <c r="X100" i="9" s="1"/>
  <c r="Y100" i="9" a="1"/>
  <c r="Y100" i="9" s="1"/>
  <c r="G101" i="9" a="1"/>
  <c r="G101" i="9" s="1"/>
  <c r="H101" i="9" a="1"/>
  <c r="H101" i="9" s="1"/>
  <c r="I101" i="9" a="1"/>
  <c r="I101" i="9" s="1"/>
  <c r="J101" i="9" a="1"/>
  <c r="J101" i="9" s="1"/>
  <c r="K101" i="9" a="1"/>
  <c r="K101" i="9" s="1"/>
  <c r="L101" i="9" a="1"/>
  <c r="L101" i="9" s="1"/>
  <c r="M101" i="9" a="1"/>
  <c r="M101" i="9" s="1"/>
  <c r="N101" i="9" a="1"/>
  <c r="N101" i="9" s="1"/>
  <c r="O101" i="9" a="1"/>
  <c r="O101" i="9" s="1"/>
  <c r="P101" i="9" a="1"/>
  <c r="P101" i="9" s="1"/>
  <c r="Q101" i="9" a="1"/>
  <c r="Q101" i="9" s="1"/>
  <c r="R101" i="9" a="1"/>
  <c r="R101" i="9" s="1"/>
  <c r="S101" i="9" a="1"/>
  <c r="S101" i="9" s="1"/>
  <c r="T101" i="9" a="1"/>
  <c r="T101" i="9" s="1"/>
  <c r="U101" i="9" a="1"/>
  <c r="U101" i="9" s="1"/>
  <c r="V101" i="9" a="1"/>
  <c r="V101" i="9" s="1"/>
  <c r="W101" i="9" a="1"/>
  <c r="W101" i="9" s="1"/>
  <c r="X101" i="9" a="1"/>
  <c r="X101" i="9" s="1"/>
  <c r="Y101" i="9" a="1"/>
  <c r="Y101" i="9" s="1"/>
  <c r="G102" i="9" a="1"/>
  <c r="G102" i="9" s="1"/>
  <c r="H102" i="9" a="1"/>
  <c r="H102" i="9" s="1"/>
  <c r="I102" i="9" a="1"/>
  <c r="I102" i="9" s="1"/>
  <c r="J102" i="9" a="1"/>
  <c r="J102" i="9" s="1"/>
  <c r="K102" i="9" a="1"/>
  <c r="K102" i="9" s="1"/>
  <c r="L102" i="9" a="1"/>
  <c r="L102" i="9" s="1"/>
  <c r="M102" i="9" a="1"/>
  <c r="M102" i="9" s="1"/>
  <c r="N102" i="9" a="1"/>
  <c r="N102" i="9" s="1"/>
  <c r="O102" i="9" a="1"/>
  <c r="O102" i="9" s="1"/>
  <c r="P102" i="9" a="1"/>
  <c r="P102" i="9" s="1"/>
  <c r="Q102" i="9" a="1"/>
  <c r="Q102" i="9" s="1"/>
  <c r="R102" i="9" a="1"/>
  <c r="R102" i="9" s="1"/>
  <c r="S102" i="9" a="1"/>
  <c r="S102" i="9" s="1"/>
  <c r="T102" i="9" a="1"/>
  <c r="T102" i="9" s="1"/>
  <c r="U102" i="9" a="1"/>
  <c r="U102" i="9" s="1"/>
  <c r="V102" i="9" a="1"/>
  <c r="V102" i="9" s="1"/>
  <c r="W102" i="9" a="1"/>
  <c r="W102" i="9" s="1"/>
  <c r="X102" i="9" a="1"/>
  <c r="X102" i="9" s="1"/>
  <c r="Y102" i="9" a="1"/>
  <c r="Y102" i="9" s="1"/>
  <c r="G103" i="9" a="1"/>
  <c r="G103" i="9" s="1"/>
  <c r="H103" i="9" a="1"/>
  <c r="H103" i="9" s="1"/>
  <c r="I103" i="9" a="1"/>
  <c r="I103" i="9" s="1"/>
  <c r="J103" i="9" a="1"/>
  <c r="J103" i="9" s="1"/>
  <c r="K103" i="9" a="1"/>
  <c r="K103" i="9" s="1"/>
  <c r="L103" i="9" a="1"/>
  <c r="L103" i="9" s="1"/>
  <c r="M103" i="9" a="1"/>
  <c r="M103" i="9" s="1"/>
  <c r="N103" i="9" a="1"/>
  <c r="N103" i="9" s="1"/>
  <c r="O103" i="9" a="1"/>
  <c r="O103" i="9" s="1"/>
  <c r="P103" i="9" a="1"/>
  <c r="P103" i="9" s="1"/>
  <c r="Q103" i="9" a="1"/>
  <c r="Q103" i="9" s="1"/>
  <c r="R103" i="9" a="1"/>
  <c r="R103" i="9" s="1"/>
  <c r="S103" i="9" a="1"/>
  <c r="S103" i="9" s="1"/>
  <c r="T103" i="9" a="1"/>
  <c r="T103" i="9" s="1"/>
  <c r="U103" i="9" a="1"/>
  <c r="U103" i="9" s="1"/>
  <c r="V103" i="9" a="1"/>
  <c r="V103" i="9" s="1"/>
  <c r="W103" i="9" a="1"/>
  <c r="W103" i="9" s="1"/>
  <c r="X103" i="9" a="1"/>
  <c r="X103" i="9" s="1"/>
  <c r="Y103" i="9" a="1"/>
  <c r="Y103" i="9" s="1"/>
  <c r="G104" i="9" a="1"/>
  <c r="G104" i="9" s="1"/>
  <c r="H104" i="9" a="1"/>
  <c r="H104" i="9" s="1"/>
  <c r="I104" i="9" a="1"/>
  <c r="I104" i="9" s="1"/>
  <c r="J104" i="9" a="1"/>
  <c r="J104" i="9" s="1"/>
  <c r="K104" i="9" a="1"/>
  <c r="K104" i="9" s="1"/>
  <c r="L104" i="9" a="1"/>
  <c r="L104" i="9" s="1"/>
  <c r="M104" i="9" a="1"/>
  <c r="M104" i="9" s="1"/>
  <c r="N104" i="9" a="1"/>
  <c r="N104" i="9" s="1"/>
  <c r="O104" i="9" a="1"/>
  <c r="O104" i="9" s="1"/>
  <c r="P104" i="9" a="1"/>
  <c r="P104" i="9" s="1"/>
  <c r="Q104" i="9" a="1"/>
  <c r="Q104" i="9" s="1"/>
  <c r="R104" i="9" a="1"/>
  <c r="R104" i="9" s="1"/>
  <c r="S104" i="9" a="1"/>
  <c r="S104" i="9" s="1"/>
  <c r="T104" i="9" a="1"/>
  <c r="T104" i="9" s="1"/>
  <c r="U104" i="9" a="1"/>
  <c r="U104" i="9" s="1"/>
  <c r="V104" i="9" a="1"/>
  <c r="V104" i="9" s="1"/>
  <c r="W104" i="9" a="1"/>
  <c r="W104" i="9" s="1"/>
  <c r="X104" i="9" a="1"/>
  <c r="X104" i="9" s="1"/>
  <c r="Y104" i="9" a="1"/>
  <c r="Y104" i="9" s="1"/>
  <c r="G105" i="9" a="1"/>
  <c r="G105" i="9" s="1"/>
  <c r="H105" i="9" a="1"/>
  <c r="H105" i="9" s="1"/>
  <c r="I105" i="9" a="1"/>
  <c r="I105" i="9" s="1"/>
  <c r="J105" i="9" a="1"/>
  <c r="J105" i="9" s="1"/>
  <c r="K105" i="9" a="1"/>
  <c r="K105" i="9" s="1"/>
  <c r="L105" i="9" a="1"/>
  <c r="L105" i="9" s="1"/>
  <c r="M105" i="9" a="1"/>
  <c r="M105" i="9" s="1"/>
  <c r="N105" i="9" a="1"/>
  <c r="N105" i="9" s="1"/>
  <c r="O105" i="9" a="1"/>
  <c r="O105" i="9" s="1"/>
  <c r="P105" i="9" a="1"/>
  <c r="P105" i="9" s="1"/>
  <c r="Q105" i="9" a="1"/>
  <c r="Q105" i="9" s="1"/>
  <c r="R105" i="9" a="1"/>
  <c r="R105" i="9" s="1"/>
  <c r="S105" i="9" a="1"/>
  <c r="S105" i="9" s="1"/>
  <c r="T105" i="9" a="1"/>
  <c r="T105" i="9" s="1"/>
  <c r="U105" i="9" a="1"/>
  <c r="U105" i="9" s="1"/>
  <c r="V105" i="9" a="1"/>
  <c r="V105" i="9" s="1"/>
  <c r="W105" i="9" a="1"/>
  <c r="W105" i="9" s="1"/>
  <c r="X105" i="9" a="1"/>
  <c r="X105" i="9" s="1"/>
  <c r="Y105" i="9" a="1"/>
  <c r="Y105" i="9" s="1"/>
  <c r="G106" i="9" a="1"/>
  <c r="G106" i="9" s="1"/>
  <c r="H106" i="9" a="1"/>
  <c r="H106" i="9" s="1"/>
  <c r="I106" i="9" a="1"/>
  <c r="I106" i="9" s="1"/>
  <c r="J106" i="9" a="1"/>
  <c r="J106" i="9" s="1"/>
  <c r="K106" i="9" a="1"/>
  <c r="K106" i="9" s="1"/>
  <c r="L106" i="9" a="1"/>
  <c r="L106" i="9" s="1"/>
  <c r="M106" i="9" a="1"/>
  <c r="M106" i="9" s="1"/>
  <c r="N106" i="9" a="1"/>
  <c r="N106" i="9" s="1"/>
  <c r="O106" i="9" a="1"/>
  <c r="O106" i="9" s="1"/>
  <c r="P106" i="9" a="1"/>
  <c r="P106" i="9" s="1"/>
  <c r="Q106" i="9" a="1"/>
  <c r="Q106" i="9" s="1"/>
  <c r="R106" i="9" a="1"/>
  <c r="R106" i="9" s="1"/>
  <c r="S106" i="9" a="1"/>
  <c r="S106" i="9" s="1"/>
  <c r="T106" i="9" a="1"/>
  <c r="T106" i="9" s="1"/>
  <c r="U106" i="9" a="1"/>
  <c r="U106" i="9" s="1"/>
  <c r="V106" i="9" a="1"/>
  <c r="V106" i="9" s="1"/>
  <c r="W106" i="9" a="1"/>
  <c r="W106" i="9" s="1"/>
  <c r="X106" i="9" a="1"/>
  <c r="X106" i="9" s="1"/>
  <c r="Y106" i="9" a="1"/>
  <c r="Y106" i="9" s="1"/>
  <c r="G107" i="9" a="1"/>
  <c r="G107" i="9" s="1"/>
  <c r="H107" i="9" a="1"/>
  <c r="H107" i="9" s="1"/>
  <c r="I107" i="9" a="1"/>
  <c r="I107" i="9" s="1"/>
  <c r="J107" i="9" a="1"/>
  <c r="J107" i="9" s="1"/>
  <c r="K107" i="9" a="1"/>
  <c r="K107" i="9" s="1"/>
  <c r="L107" i="9" a="1"/>
  <c r="L107" i="9" s="1"/>
  <c r="M107" i="9" a="1"/>
  <c r="M107" i="9" s="1"/>
  <c r="N107" i="9" a="1"/>
  <c r="N107" i="9" s="1"/>
  <c r="O107" i="9" a="1"/>
  <c r="O107" i="9" s="1"/>
  <c r="P107" i="9" a="1"/>
  <c r="P107" i="9" s="1"/>
  <c r="Q107" i="9" a="1"/>
  <c r="Q107" i="9" s="1"/>
  <c r="R107" i="9" a="1"/>
  <c r="R107" i="9" s="1"/>
  <c r="S107" i="9" a="1"/>
  <c r="S107" i="9" s="1"/>
  <c r="T107" i="9" a="1"/>
  <c r="T107" i="9" s="1"/>
  <c r="U107" i="9" a="1"/>
  <c r="U107" i="9" s="1"/>
  <c r="V107" i="9" a="1"/>
  <c r="V107" i="9" s="1"/>
  <c r="W107" i="9" a="1"/>
  <c r="W107" i="9" s="1"/>
  <c r="X107" i="9" a="1"/>
  <c r="X107" i="9" s="1"/>
  <c r="Y107" i="9" a="1"/>
  <c r="Y107" i="9" s="1"/>
  <c r="G108" i="9" a="1"/>
  <c r="G108" i="9" s="1"/>
  <c r="H108" i="9" a="1"/>
  <c r="H108" i="9" s="1"/>
  <c r="I108" i="9" a="1"/>
  <c r="I108" i="9" s="1"/>
  <c r="J108" i="9" a="1"/>
  <c r="J108" i="9" s="1"/>
  <c r="K108" i="9" a="1"/>
  <c r="K108" i="9" s="1"/>
  <c r="L108" i="9" a="1"/>
  <c r="L108" i="9" s="1"/>
  <c r="M108" i="9" a="1"/>
  <c r="M108" i="9" s="1"/>
  <c r="N108" i="9" a="1"/>
  <c r="N108" i="9" s="1"/>
  <c r="O108" i="9" a="1"/>
  <c r="O108" i="9" s="1"/>
  <c r="P108" i="9" a="1"/>
  <c r="P108" i="9" s="1"/>
  <c r="Q108" i="9" a="1"/>
  <c r="Q108" i="9" s="1"/>
  <c r="R108" i="9" a="1"/>
  <c r="R108" i="9" s="1"/>
  <c r="S108" i="9" a="1"/>
  <c r="S108" i="9" s="1"/>
  <c r="T108" i="9" a="1"/>
  <c r="T108" i="9" s="1"/>
  <c r="U108" i="9" a="1"/>
  <c r="U108" i="9" s="1"/>
  <c r="V108" i="9" a="1"/>
  <c r="V108" i="9" s="1"/>
  <c r="W108" i="9" a="1"/>
  <c r="W108" i="9" s="1"/>
  <c r="X108" i="9" a="1"/>
  <c r="X108" i="9" s="1"/>
  <c r="Y108" i="9" a="1"/>
  <c r="Y108" i="9" s="1"/>
  <c r="G109" i="9" a="1"/>
  <c r="G109" i="9" s="1"/>
  <c r="H109" i="9" a="1"/>
  <c r="H109" i="9" s="1"/>
  <c r="I109" i="9" a="1"/>
  <c r="I109" i="9" s="1"/>
  <c r="J109" i="9" a="1"/>
  <c r="J109" i="9" s="1"/>
  <c r="K109" i="9" a="1"/>
  <c r="K109" i="9" s="1"/>
  <c r="L109" i="9" a="1"/>
  <c r="L109" i="9" s="1"/>
  <c r="M109" i="9" a="1"/>
  <c r="M109" i="9" s="1"/>
  <c r="N109" i="9" a="1"/>
  <c r="N109" i="9" s="1"/>
  <c r="O109" i="9" a="1"/>
  <c r="O109" i="9" s="1"/>
  <c r="P109" i="9" a="1"/>
  <c r="P109" i="9" s="1"/>
  <c r="Q109" i="9" a="1"/>
  <c r="Q109" i="9" s="1"/>
  <c r="R109" i="9" a="1"/>
  <c r="R109" i="9" s="1"/>
  <c r="S109" i="9" a="1"/>
  <c r="S109" i="9" s="1"/>
  <c r="T109" i="9" a="1"/>
  <c r="T109" i="9" s="1"/>
  <c r="U109" i="9" a="1"/>
  <c r="U109" i="9" s="1"/>
  <c r="V109" i="9" a="1"/>
  <c r="V109" i="9" s="1"/>
  <c r="W109" i="9" a="1"/>
  <c r="W109" i="9" s="1"/>
  <c r="X109" i="9" a="1"/>
  <c r="X109" i="9" s="1"/>
  <c r="Y109" i="9" a="1"/>
  <c r="Y109" i="9" s="1"/>
  <c r="G110" i="9" a="1"/>
  <c r="G110" i="9" s="1"/>
  <c r="H110" i="9" a="1"/>
  <c r="H110" i="9" s="1"/>
  <c r="I110" i="9" a="1"/>
  <c r="I110" i="9" s="1"/>
  <c r="J110" i="9" a="1"/>
  <c r="J110" i="9" s="1"/>
  <c r="K110" i="9" a="1"/>
  <c r="K110" i="9" s="1"/>
  <c r="L110" i="9" a="1"/>
  <c r="L110" i="9" s="1"/>
  <c r="M110" i="9" a="1"/>
  <c r="M110" i="9" s="1"/>
  <c r="N110" i="9" a="1"/>
  <c r="N110" i="9" s="1"/>
  <c r="O110" i="9" a="1"/>
  <c r="O110" i="9" s="1"/>
  <c r="P110" i="9" a="1"/>
  <c r="P110" i="9" s="1"/>
  <c r="Q110" i="9" a="1"/>
  <c r="Q110" i="9" s="1"/>
  <c r="R110" i="9" a="1"/>
  <c r="R110" i="9" s="1"/>
  <c r="S110" i="9" a="1"/>
  <c r="S110" i="9" s="1"/>
  <c r="T110" i="9" a="1"/>
  <c r="T110" i="9" s="1"/>
  <c r="U110" i="9" a="1"/>
  <c r="U110" i="9" s="1"/>
  <c r="V110" i="9" a="1"/>
  <c r="V110" i="9" s="1"/>
  <c r="W110" i="9" a="1"/>
  <c r="W110" i="9" s="1"/>
  <c r="X110" i="9" a="1"/>
  <c r="X110" i="9" s="1"/>
  <c r="Y110" i="9" a="1"/>
  <c r="Y110" i="9" s="1"/>
  <c r="G111" i="9" a="1"/>
  <c r="G111" i="9" s="1"/>
  <c r="H111" i="9" a="1"/>
  <c r="H111" i="9" s="1"/>
  <c r="I111" i="9" a="1"/>
  <c r="I111" i="9" s="1"/>
  <c r="J111" i="9" a="1"/>
  <c r="J111" i="9" s="1"/>
  <c r="K111" i="9" a="1"/>
  <c r="K111" i="9" s="1"/>
  <c r="L111" i="9" a="1"/>
  <c r="L111" i="9" s="1"/>
  <c r="M111" i="9" a="1"/>
  <c r="M111" i="9" s="1"/>
  <c r="N111" i="9" a="1"/>
  <c r="N111" i="9" s="1"/>
  <c r="O111" i="9" a="1"/>
  <c r="O111" i="9" s="1"/>
  <c r="P111" i="9" a="1"/>
  <c r="P111" i="9" s="1"/>
  <c r="Q111" i="9" a="1"/>
  <c r="Q111" i="9" s="1"/>
  <c r="R111" i="9" a="1"/>
  <c r="R111" i="9" s="1"/>
  <c r="S111" i="9" a="1"/>
  <c r="S111" i="9" s="1"/>
  <c r="T111" i="9" a="1"/>
  <c r="T111" i="9" s="1"/>
  <c r="U111" i="9" a="1"/>
  <c r="U111" i="9" s="1"/>
  <c r="V111" i="9" a="1"/>
  <c r="V111" i="9" s="1"/>
  <c r="W111" i="9" a="1"/>
  <c r="W111" i="9" s="1"/>
  <c r="X111" i="9" a="1"/>
  <c r="X111" i="9" s="1"/>
  <c r="Y111" i="9" a="1"/>
  <c r="Y111" i="9" s="1"/>
  <c r="G112" i="9" a="1"/>
  <c r="G112" i="9" s="1"/>
  <c r="H112" i="9" a="1"/>
  <c r="H112" i="9" s="1"/>
  <c r="I112" i="9" a="1"/>
  <c r="I112" i="9" s="1"/>
  <c r="J112" i="9" a="1"/>
  <c r="J112" i="9" s="1"/>
  <c r="K112" i="9" a="1"/>
  <c r="K112" i="9" s="1"/>
  <c r="L112" i="9" a="1"/>
  <c r="L112" i="9" s="1"/>
  <c r="M112" i="9" a="1"/>
  <c r="M112" i="9" s="1"/>
  <c r="N112" i="9" a="1"/>
  <c r="N112" i="9" s="1"/>
  <c r="O112" i="9" a="1"/>
  <c r="O112" i="9" s="1"/>
  <c r="P112" i="9" a="1"/>
  <c r="P112" i="9" s="1"/>
  <c r="Q112" i="9" a="1"/>
  <c r="Q112" i="9" s="1"/>
  <c r="R112" i="9" a="1"/>
  <c r="R112" i="9" s="1"/>
  <c r="S112" i="9" a="1"/>
  <c r="S112" i="9" s="1"/>
  <c r="T112" i="9" a="1"/>
  <c r="T112" i="9" s="1"/>
  <c r="U112" i="9" a="1"/>
  <c r="U112" i="9" s="1"/>
  <c r="V112" i="9" a="1"/>
  <c r="V112" i="9" s="1"/>
  <c r="W112" i="9" a="1"/>
  <c r="W112" i="9" s="1"/>
  <c r="X112" i="9" a="1"/>
  <c r="X112" i="9" s="1"/>
  <c r="Y112" i="9" a="1"/>
  <c r="Y112" i="9" s="1"/>
  <c r="G113" i="9" a="1"/>
  <c r="G113" i="9" s="1"/>
  <c r="H113" i="9" a="1"/>
  <c r="H113" i="9" s="1"/>
  <c r="I113" i="9" a="1"/>
  <c r="I113" i="9" s="1"/>
  <c r="J113" i="9" a="1"/>
  <c r="J113" i="9" s="1"/>
  <c r="K113" i="9" a="1"/>
  <c r="K113" i="9" s="1"/>
  <c r="L113" i="9" a="1"/>
  <c r="L113" i="9" s="1"/>
  <c r="M113" i="9" a="1"/>
  <c r="M113" i="9" s="1"/>
  <c r="N113" i="9" a="1"/>
  <c r="N113" i="9" s="1"/>
  <c r="O113" i="9" a="1"/>
  <c r="O113" i="9" s="1"/>
  <c r="P113" i="9" a="1"/>
  <c r="P113" i="9" s="1"/>
  <c r="Q113" i="9" a="1"/>
  <c r="Q113" i="9" s="1"/>
  <c r="R113" i="9" a="1"/>
  <c r="R113" i="9" s="1"/>
  <c r="S113" i="9" a="1"/>
  <c r="S113" i="9" s="1"/>
  <c r="T113" i="9" a="1"/>
  <c r="T113" i="9" s="1"/>
  <c r="U113" i="9" a="1"/>
  <c r="U113" i="9" s="1"/>
  <c r="V113" i="9" a="1"/>
  <c r="V113" i="9" s="1"/>
  <c r="W113" i="9" a="1"/>
  <c r="W113" i="9" s="1"/>
  <c r="X113" i="9" a="1"/>
  <c r="X113" i="9" s="1"/>
  <c r="Y113" i="9" a="1"/>
  <c r="Y113" i="9" s="1"/>
  <c r="G114" i="9" a="1"/>
  <c r="G114" i="9" s="1"/>
  <c r="H114" i="9" a="1"/>
  <c r="H114" i="9" s="1"/>
  <c r="I114" i="9" a="1"/>
  <c r="I114" i="9" s="1"/>
  <c r="J114" i="9" a="1"/>
  <c r="J114" i="9" s="1"/>
  <c r="K114" i="9" a="1"/>
  <c r="K114" i="9" s="1"/>
  <c r="L114" i="9" a="1"/>
  <c r="L114" i="9" s="1"/>
  <c r="M114" i="9" a="1"/>
  <c r="M114" i="9" s="1"/>
  <c r="N114" i="9" a="1"/>
  <c r="N114" i="9" s="1"/>
  <c r="O114" i="9" a="1"/>
  <c r="O114" i="9" s="1"/>
  <c r="P114" i="9" a="1"/>
  <c r="P114" i="9" s="1"/>
  <c r="Q114" i="9" a="1"/>
  <c r="Q114" i="9" s="1"/>
  <c r="R114" i="9" a="1"/>
  <c r="R114" i="9" s="1"/>
  <c r="S114" i="9" a="1"/>
  <c r="S114" i="9" s="1"/>
  <c r="T114" i="9" a="1"/>
  <c r="T114" i="9" s="1"/>
  <c r="U114" i="9" a="1"/>
  <c r="U114" i="9" s="1"/>
  <c r="V114" i="9" a="1"/>
  <c r="V114" i="9" s="1"/>
  <c r="W114" i="9" a="1"/>
  <c r="W114" i="9" s="1"/>
  <c r="X114" i="9" a="1"/>
  <c r="X114" i="9" s="1"/>
  <c r="Y114" i="9" a="1"/>
  <c r="Y114" i="9" s="1"/>
  <c r="G115" i="9" a="1"/>
  <c r="G115" i="9" s="1"/>
  <c r="H115" i="9" a="1"/>
  <c r="H115" i="9" s="1"/>
  <c r="I115" i="9" a="1"/>
  <c r="I115" i="9" s="1"/>
  <c r="J115" i="9" a="1"/>
  <c r="J115" i="9" s="1"/>
  <c r="K115" i="9" a="1"/>
  <c r="K115" i="9" s="1"/>
  <c r="L115" i="9" a="1"/>
  <c r="L115" i="9" s="1"/>
  <c r="M115" i="9" a="1"/>
  <c r="M115" i="9" s="1"/>
  <c r="N115" i="9" a="1"/>
  <c r="N115" i="9" s="1"/>
  <c r="O115" i="9" a="1"/>
  <c r="O115" i="9" s="1"/>
  <c r="P115" i="9" a="1"/>
  <c r="P115" i="9" s="1"/>
  <c r="Q115" i="9" a="1"/>
  <c r="Q115" i="9" s="1"/>
  <c r="R115" i="9" a="1"/>
  <c r="R115" i="9" s="1"/>
  <c r="S115" i="9" a="1"/>
  <c r="S115" i="9" s="1"/>
  <c r="T115" i="9" a="1"/>
  <c r="T115" i="9" s="1"/>
  <c r="U115" i="9" a="1"/>
  <c r="U115" i="9" s="1"/>
  <c r="V115" i="9" a="1"/>
  <c r="V115" i="9" s="1"/>
  <c r="W115" i="9" a="1"/>
  <c r="W115" i="9" s="1"/>
  <c r="X115" i="9" a="1"/>
  <c r="X115" i="9" s="1"/>
  <c r="Y115" i="9" a="1"/>
  <c r="Y115" i="9" s="1"/>
  <c r="G116" i="9" a="1"/>
  <c r="G116" i="9" s="1"/>
  <c r="H116" i="9" a="1"/>
  <c r="H116" i="9" s="1"/>
  <c r="I116" i="9" a="1"/>
  <c r="I116" i="9" s="1"/>
  <c r="J116" i="9" a="1"/>
  <c r="J116" i="9" s="1"/>
  <c r="K116" i="9" a="1"/>
  <c r="K116" i="9" s="1"/>
  <c r="L116" i="9" a="1"/>
  <c r="L116" i="9" s="1"/>
  <c r="M116" i="9" a="1"/>
  <c r="M116" i="9" s="1"/>
  <c r="N116" i="9" a="1"/>
  <c r="N116" i="9" s="1"/>
  <c r="O116" i="9" a="1"/>
  <c r="O116" i="9" s="1"/>
  <c r="P116" i="9" a="1"/>
  <c r="P116" i="9" s="1"/>
  <c r="Q116" i="9" a="1"/>
  <c r="Q116" i="9" s="1"/>
  <c r="R116" i="9" a="1"/>
  <c r="R116" i="9" s="1"/>
  <c r="S116" i="9" a="1"/>
  <c r="S116" i="9" s="1"/>
  <c r="T116" i="9" a="1"/>
  <c r="T116" i="9" s="1"/>
  <c r="U116" i="9" a="1"/>
  <c r="U116" i="9" s="1"/>
  <c r="V116" i="9" a="1"/>
  <c r="V116" i="9" s="1"/>
  <c r="W116" i="9" a="1"/>
  <c r="W116" i="9" s="1"/>
  <c r="X116" i="9" a="1"/>
  <c r="X116" i="9" s="1"/>
  <c r="Y116" i="9" a="1"/>
  <c r="Y116" i="9" s="1"/>
  <c r="G117" i="9" a="1"/>
  <c r="G117" i="9" s="1"/>
  <c r="H117" i="9" a="1"/>
  <c r="H117" i="9" s="1"/>
  <c r="I117" i="9" a="1"/>
  <c r="I117" i="9" s="1"/>
  <c r="J117" i="9" a="1"/>
  <c r="J117" i="9" s="1"/>
  <c r="K117" i="9" a="1"/>
  <c r="K117" i="9" s="1"/>
  <c r="L117" i="9" a="1"/>
  <c r="L117" i="9" s="1"/>
  <c r="M117" i="9" a="1"/>
  <c r="M117" i="9" s="1"/>
  <c r="N117" i="9" a="1"/>
  <c r="N117" i="9" s="1"/>
  <c r="O117" i="9" a="1"/>
  <c r="O117" i="9" s="1"/>
  <c r="P117" i="9" a="1"/>
  <c r="P117" i="9" s="1"/>
  <c r="Q117" i="9" a="1"/>
  <c r="Q117" i="9" s="1"/>
  <c r="R117" i="9" a="1"/>
  <c r="R117" i="9" s="1"/>
  <c r="S117" i="9" a="1"/>
  <c r="S117" i="9" s="1"/>
  <c r="T117" i="9" a="1"/>
  <c r="T117" i="9" s="1"/>
  <c r="U117" i="9" a="1"/>
  <c r="U117" i="9" s="1"/>
  <c r="V117" i="9" a="1"/>
  <c r="V117" i="9" s="1"/>
  <c r="W117" i="9" a="1"/>
  <c r="W117" i="9" s="1"/>
  <c r="X117" i="9" a="1"/>
  <c r="X117" i="9" s="1"/>
  <c r="Y117" i="9" a="1"/>
  <c r="Y117" i="9" s="1"/>
  <c r="G118" i="9" a="1"/>
  <c r="G118" i="9" s="1"/>
  <c r="H118" i="9" a="1"/>
  <c r="H118" i="9" s="1"/>
  <c r="I118" i="9" a="1"/>
  <c r="I118" i="9" s="1"/>
  <c r="J118" i="9" a="1"/>
  <c r="J118" i="9" s="1"/>
  <c r="K118" i="9" a="1"/>
  <c r="K118" i="9" s="1"/>
  <c r="L118" i="9" a="1"/>
  <c r="L118" i="9" s="1"/>
  <c r="M118" i="9" a="1"/>
  <c r="M118" i="9" s="1"/>
  <c r="N118" i="9" a="1"/>
  <c r="N118" i="9" s="1"/>
  <c r="O118" i="9" a="1"/>
  <c r="O118" i="9" s="1"/>
  <c r="P118" i="9" a="1"/>
  <c r="P118" i="9" s="1"/>
  <c r="Q118" i="9" a="1"/>
  <c r="Q118" i="9" s="1"/>
  <c r="R118" i="9" a="1"/>
  <c r="R118" i="9" s="1"/>
  <c r="S118" i="9" a="1"/>
  <c r="S118" i="9" s="1"/>
  <c r="T118" i="9" a="1"/>
  <c r="T118" i="9" s="1"/>
  <c r="U118" i="9" a="1"/>
  <c r="U118" i="9" s="1"/>
  <c r="V118" i="9" a="1"/>
  <c r="V118" i="9" s="1"/>
  <c r="W118" i="9" a="1"/>
  <c r="W118" i="9" s="1"/>
  <c r="X118" i="9" a="1"/>
  <c r="X118" i="9" s="1"/>
  <c r="Y118" i="9" a="1"/>
  <c r="Y118" i="9" s="1"/>
  <c r="G119" i="9" a="1"/>
  <c r="G119" i="9" s="1"/>
  <c r="H119" i="9" a="1"/>
  <c r="H119" i="9" s="1"/>
  <c r="I119" i="9" a="1"/>
  <c r="I119" i="9" s="1"/>
  <c r="J119" i="9" a="1"/>
  <c r="J119" i="9" s="1"/>
  <c r="K119" i="9" a="1"/>
  <c r="K119" i="9" s="1"/>
  <c r="L119" i="9" a="1"/>
  <c r="L119" i="9" s="1"/>
  <c r="M119" i="9" a="1"/>
  <c r="M119" i="9" s="1"/>
  <c r="N119" i="9" a="1"/>
  <c r="N119" i="9" s="1"/>
  <c r="O119" i="9" a="1"/>
  <c r="O119" i="9" s="1"/>
  <c r="P119" i="9" a="1"/>
  <c r="P119" i="9" s="1"/>
  <c r="Q119" i="9" a="1"/>
  <c r="Q119" i="9" s="1"/>
  <c r="R119" i="9" a="1"/>
  <c r="R119" i="9" s="1"/>
  <c r="S119" i="9" a="1"/>
  <c r="S119" i="9" s="1"/>
  <c r="T119" i="9" a="1"/>
  <c r="T119" i="9" s="1"/>
  <c r="U119" i="9" a="1"/>
  <c r="U119" i="9" s="1"/>
  <c r="V119" i="9" a="1"/>
  <c r="V119" i="9" s="1"/>
  <c r="W119" i="9" a="1"/>
  <c r="W119" i="9" s="1"/>
  <c r="X119" i="9" a="1"/>
  <c r="X119" i="9" s="1"/>
  <c r="Y119" i="9" a="1"/>
  <c r="Y119" i="9" s="1"/>
  <c r="G120" i="9" a="1"/>
  <c r="G120" i="9" s="1"/>
  <c r="H120" i="9" a="1"/>
  <c r="H120" i="9" s="1"/>
  <c r="I120" i="9" a="1"/>
  <c r="I120" i="9" s="1"/>
  <c r="J120" i="9" a="1"/>
  <c r="J120" i="9" s="1"/>
  <c r="K120" i="9" a="1"/>
  <c r="K120" i="9" s="1"/>
  <c r="L120" i="9" a="1"/>
  <c r="L120" i="9" s="1"/>
  <c r="M120" i="9" a="1"/>
  <c r="M120" i="9" s="1"/>
  <c r="N120" i="9" a="1"/>
  <c r="N120" i="9" s="1"/>
  <c r="O120" i="9" a="1"/>
  <c r="O120" i="9" s="1"/>
  <c r="P120" i="9" a="1"/>
  <c r="P120" i="9" s="1"/>
  <c r="Q120" i="9" a="1"/>
  <c r="Q120" i="9" s="1"/>
  <c r="R120" i="9" a="1"/>
  <c r="R120" i="9" s="1"/>
  <c r="S120" i="9" a="1"/>
  <c r="S120" i="9" s="1"/>
  <c r="T120" i="9" a="1"/>
  <c r="T120" i="9" s="1"/>
  <c r="U120" i="9" a="1"/>
  <c r="U120" i="9" s="1"/>
  <c r="V120" i="9" a="1"/>
  <c r="V120" i="9" s="1"/>
  <c r="W120" i="9" a="1"/>
  <c r="W120" i="9" s="1"/>
  <c r="X120" i="9" a="1"/>
  <c r="X120" i="9" s="1"/>
  <c r="Y120" i="9" a="1"/>
  <c r="Y120" i="9" s="1"/>
  <c r="G121" i="9" a="1"/>
  <c r="G121" i="9" s="1"/>
  <c r="H121" i="9" a="1"/>
  <c r="H121" i="9" s="1"/>
  <c r="I121" i="9" a="1"/>
  <c r="I121" i="9" s="1"/>
  <c r="J121" i="9" a="1"/>
  <c r="J121" i="9" s="1"/>
  <c r="K121" i="9" a="1"/>
  <c r="K121" i="9" s="1"/>
  <c r="L121" i="9" a="1"/>
  <c r="L121" i="9" s="1"/>
  <c r="M121" i="9" a="1"/>
  <c r="M121" i="9" s="1"/>
  <c r="N121" i="9" a="1"/>
  <c r="N121" i="9" s="1"/>
  <c r="O121" i="9" a="1"/>
  <c r="O121" i="9" s="1"/>
  <c r="P121" i="9" a="1"/>
  <c r="P121" i="9" s="1"/>
  <c r="Q121" i="9" a="1"/>
  <c r="Q121" i="9" s="1"/>
  <c r="R121" i="9" a="1"/>
  <c r="R121" i="9" s="1"/>
  <c r="S121" i="9" a="1"/>
  <c r="S121" i="9" s="1"/>
  <c r="T121" i="9" a="1"/>
  <c r="T121" i="9" s="1"/>
  <c r="U121" i="9" a="1"/>
  <c r="U121" i="9" s="1"/>
  <c r="V121" i="9" a="1"/>
  <c r="V121" i="9" s="1"/>
  <c r="W121" i="9" a="1"/>
  <c r="W121" i="9" s="1"/>
  <c r="X121" i="9" a="1"/>
  <c r="X121" i="9" s="1"/>
  <c r="Y121" i="9" a="1"/>
  <c r="Y121" i="9" s="1"/>
  <c r="G122" i="9" a="1"/>
  <c r="G122" i="9" s="1"/>
  <c r="H122" i="9" a="1"/>
  <c r="H122" i="9" s="1"/>
  <c r="I122" i="9" a="1"/>
  <c r="I122" i="9" s="1"/>
  <c r="J122" i="9" a="1"/>
  <c r="J122" i="9" s="1"/>
  <c r="K122" i="9" a="1"/>
  <c r="K122" i="9" s="1"/>
  <c r="L122" i="9" a="1"/>
  <c r="L122" i="9" s="1"/>
  <c r="M122" i="9" a="1"/>
  <c r="M122" i="9" s="1"/>
  <c r="N122" i="9" a="1"/>
  <c r="N122" i="9" s="1"/>
  <c r="O122" i="9" a="1"/>
  <c r="O122" i="9" s="1"/>
  <c r="P122" i="9" a="1"/>
  <c r="P122" i="9" s="1"/>
  <c r="Q122" i="9" a="1"/>
  <c r="Q122" i="9" s="1"/>
  <c r="R122" i="9" a="1"/>
  <c r="R122" i="9" s="1"/>
  <c r="S122" i="9" a="1"/>
  <c r="S122" i="9" s="1"/>
  <c r="T122" i="9" a="1"/>
  <c r="T122" i="9" s="1"/>
  <c r="U122" i="9" a="1"/>
  <c r="U122" i="9" s="1"/>
  <c r="V122" i="9" a="1"/>
  <c r="V122" i="9" s="1"/>
  <c r="W122" i="9" a="1"/>
  <c r="W122" i="9" s="1"/>
  <c r="X122" i="9" a="1"/>
  <c r="X122" i="9" s="1"/>
  <c r="Y122" i="9" a="1"/>
  <c r="Y122" i="9" s="1"/>
  <c r="G123" i="9" a="1"/>
  <c r="G123" i="9" s="1"/>
  <c r="H123" i="9" a="1"/>
  <c r="H123" i="9" s="1"/>
  <c r="I123" i="9" a="1"/>
  <c r="I123" i="9" s="1"/>
  <c r="J123" i="9" a="1"/>
  <c r="J123" i="9" s="1"/>
  <c r="K123" i="9" a="1"/>
  <c r="K123" i="9" s="1"/>
  <c r="L123" i="9" a="1"/>
  <c r="L123" i="9" s="1"/>
  <c r="M123" i="9" a="1"/>
  <c r="M123" i="9" s="1"/>
  <c r="N123" i="9" a="1"/>
  <c r="N123" i="9" s="1"/>
  <c r="O123" i="9" a="1"/>
  <c r="O123" i="9" s="1"/>
  <c r="P123" i="9" a="1"/>
  <c r="P123" i="9" s="1"/>
  <c r="Q123" i="9" a="1"/>
  <c r="Q123" i="9" s="1"/>
  <c r="R123" i="9" a="1"/>
  <c r="R123" i="9" s="1"/>
  <c r="S123" i="9" a="1"/>
  <c r="S123" i="9" s="1"/>
  <c r="T123" i="9" a="1"/>
  <c r="T123" i="9" s="1"/>
  <c r="U123" i="9" a="1"/>
  <c r="U123" i="9" s="1"/>
  <c r="V123" i="9" a="1"/>
  <c r="V123" i="9" s="1"/>
  <c r="W123" i="9" a="1"/>
  <c r="W123" i="9" s="1"/>
  <c r="X123" i="9" a="1"/>
  <c r="X123" i="9" s="1"/>
  <c r="Y123" i="9" a="1"/>
  <c r="Y123" i="9" s="1"/>
  <c r="G124" i="9" a="1"/>
  <c r="G124" i="9" s="1"/>
  <c r="H124" i="9" a="1"/>
  <c r="H124" i="9" s="1"/>
  <c r="I124" i="9" a="1"/>
  <c r="I124" i="9" s="1"/>
  <c r="J124" i="9" a="1"/>
  <c r="J124" i="9" s="1"/>
  <c r="K124" i="9" a="1"/>
  <c r="K124" i="9" s="1"/>
  <c r="L124" i="9" a="1"/>
  <c r="L124" i="9" s="1"/>
  <c r="M124" i="9" a="1"/>
  <c r="M124" i="9" s="1"/>
  <c r="N124" i="9" a="1"/>
  <c r="N124" i="9" s="1"/>
  <c r="O124" i="9" a="1"/>
  <c r="O124" i="9" s="1"/>
  <c r="P124" i="9" a="1"/>
  <c r="P124" i="9" s="1"/>
  <c r="Q124" i="9" a="1"/>
  <c r="Q124" i="9" s="1"/>
  <c r="R124" i="9" a="1"/>
  <c r="R124" i="9" s="1"/>
  <c r="S124" i="9" a="1"/>
  <c r="S124" i="9" s="1"/>
  <c r="T124" i="9" a="1"/>
  <c r="T124" i="9" s="1"/>
  <c r="U124" i="9" a="1"/>
  <c r="U124" i="9" s="1"/>
  <c r="V124" i="9" a="1"/>
  <c r="V124" i="9" s="1"/>
  <c r="W124" i="9" a="1"/>
  <c r="W124" i="9" s="1"/>
  <c r="X124" i="9" a="1"/>
  <c r="X124" i="9" s="1"/>
  <c r="Y124" i="9" a="1"/>
  <c r="Y124" i="9" s="1"/>
  <c r="G125" i="9" a="1"/>
  <c r="G125" i="9" s="1"/>
  <c r="H125" i="9" a="1"/>
  <c r="H125" i="9" s="1"/>
  <c r="I125" i="9" a="1"/>
  <c r="I125" i="9" s="1"/>
  <c r="J125" i="9" a="1"/>
  <c r="J125" i="9" s="1"/>
  <c r="K125" i="9" a="1"/>
  <c r="K125" i="9" s="1"/>
  <c r="L125" i="9" a="1"/>
  <c r="L125" i="9" s="1"/>
  <c r="M125" i="9" a="1"/>
  <c r="M125" i="9" s="1"/>
  <c r="N125" i="9" a="1"/>
  <c r="N125" i="9" s="1"/>
  <c r="O125" i="9" a="1"/>
  <c r="O125" i="9" s="1"/>
  <c r="P125" i="9" a="1"/>
  <c r="P125" i="9" s="1"/>
  <c r="Q125" i="9" a="1"/>
  <c r="Q125" i="9" s="1"/>
  <c r="R125" i="9" a="1"/>
  <c r="R125" i="9" s="1"/>
  <c r="S125" i="9" a="1"/>
  <c r="S125" i="9" s="1"/>
  <c r="T125" i="9" a="1"/>
  <c r="T125" i="9" s="1"/>
  <c r="U125" i="9" a="1"/>
  <c r="U125" i="9" s="1"/>
  <c r="V125" i="9" a="1"/>
  <c r="V125" i="9" s="1"/>
  <c r="W125" i="9" a="1"/>
  <c r="W125" i="9" s="1"/>
  <c r="X125" i="9" a="1"/>
  <c r="X125" i="9" s="1"/>
  <c r="Y125" i="9" a="1"/>
  <c r="Y125" i="9" s="1"/>
  <c r="G126" i="9" a="1"/>
  <c r="G126" i="9" s="1"/>
  <c r="H126" i="9" a="1"/>
  <c r="H126" i="9" s="1"/>
  <c r="I126" i="9" a="1"/>
  <c r="I126" i="9" s="1"/>
  <c r="J126" i="9" a="1"/>
  <c r="J126" i="9" s="1"/>
  <c r="K126" i="9" a="1"/>
  <c r="K126" i="9" s="1"/>
  <c r="L126" i="9" a="1"/>
  <c r="L126" i="9" s="1"/>
  <c r="M126" i="9" a="1"/>
  <c r="M126" i="9" s="1"/>
  <c r="N126" i="9" a="1"/>
  <c r="N126" i="9" s="1"/>
  <c r="O126" i="9" a="1"/>
  <c r="O126" i="9" s="1"/>
  <c r="P126" i="9" a="1"/>
  <c r="P126" i="9" s="1"/>
  <c r="Q126" i="9" a="1"/>
  <c r="Q126" i="9" s="1"/>
  <c r="R126" i="9" a="1"/>
  <c r="R126" i="9" s="1"/>
  <c r="S126" i="9" a="1"/>
  <c r="S126" i="9" s="1"/>
  <c r="T126" i="9" a="1"/>
  <c r="T126" i="9" s="1"/>
  <c r="U126" i="9" a="1"/>
  <c r="U126" i="9" s="1"/>
  <c r="V126" i="9" a="1"/>
  <c r="V126" i="9" s="1"/>
  <c r="W126" i="9" a="1"/>
  <c r="W126" i="9" s="1"/>
  <c r="X126" i="9" a="1"/>
  <c r="X126" i="9" s="1"/>
  <c r="Y126" i="9" a="1"/>
  <c r="Y126" i="9" s="1"/>
  <c r="G127" i="9" a="1"/>
  <c r="G127" i="9" s="1"/>
  <c r="H127" i="9" a="1"/>
  <c r="H127" i="9" s="1"/>
  <c r="I127" i="9" a="1"/>
  <c r="I127" i="9" s="1"/>
  <c r="J127" i="9" a="1"/>
  <c r="J127" i="9" s="1"/>
  <c r="K127" i="9" a="1"/>
  <c r="K127" i="9" s="1"/>
  <c r="L127" i="9" a="1"/>
  <c r="L127" i="9" s="1"/>
  <c r="M127" i="9" a="1"/>
  <c r="M127" i="9" s="1"/>
  <c r="N127" i="9" a="1"/>
  <c r="N127" i="9" s="1"/>
  <c r="O127" i="9" a="1"/>
  <c r="O127" i="9" s="1"/>
  <c r="P127" i="9" a="1"/>
  <c r="P127" i="9" s="1"/>
  <c r="Q127" i="9" a="1"/>
  <c r="Q127" i="9" s="1"/>
  <c r="R127" i="9" a="1"/>
  <c r="R127" i="9" s="1"/>
  <c r="S127" i="9" a="1"/>
  <c r="S127" i="9" s="1"/>
  <c r="T127" i="9" a="1"/>
  <c r="T127" i="9" s="1"/>
  <c r="U127" i="9" a="1"/>
  <c r="U127" i="9" s="1"/>
  <c r="V127" i="9" a="1"/>
  <c r="V127" i="9" s="1"/>
  <c r="W127" i="9" a="1"/>
  <c r="W127" i="9" s="1"/>
  <c r="X127" i="9" a="1"/>
  <c r="X127" i="9" s="1"/>
  <c r="Y127" i="9" a="1"/>
  <c r="Y127" i="9" s="1"/>
  <c r="K9" i="9" a="1"/>
  <c r="K9" i="9" s="1"/>
  <c r="L9" i="9" a="1"/>
  <c r="L9" i="9" s="1"/>
  <c r="M9" i="9" a="1"/>
  <c r="M9" i="9" s="1"/>
  <c r="N9" i="9" a="1"/>
  <c r="N9" i="9" s="1"/>
  <c r="O9" i="9" a="1"/>
  <c r="O9" i="9" s="1"/>
  <c r="P9" i="9" a="1"/>
  <c r="P9" i="9" s="1"/>
  <c r="Q9" i="9" a="1"/>
  <c r="Q9" i="9" s="1"/>
  <c r="R9" i="9" a="1"/>
  <c r="R9" i="9" s="1"/>
  <c r="S9" i="9" a="1"/>
  <c r="S9" i="9" s="1"/>
  <c r="T9" i="9" a="1"/>
  <c r="T9" i="9" s="1"/>
  <c r="U9" i="9" a="1"/>
  <c r="U9" i="9" s="1"/>
  <c r="V9" i="9" a="1"/>
  <c r="V9" i="9" s="1"/>
  <c r="W9" i="9" a="1"/>
  <c r="W9" i="9" s="1"/>
  <c r="X9" i="9" a="1"/>
  <c r="X9" i="9" s="1"/>
  <c r="Y9" i="9" a="1"/>
  <c r="Y9" i="9" s="1"/>
  <c r="G9" i="9" a="1"/>
  <c r="G9" i="9" s="1"/>
  <c r="H9" i="9" a="1"/>
  <c r="H9" i="9" s="1"/>
  <c r="I9" i="9" a="1"/>
  <c r="I9" i="9" s="1"/>
  <c r="J9" i="9" a="1"/>
  <c r="J9" i="9" s="1"/>
  <c r="E9" i="9" a="1"/>
  <c r="E9" i="9" s="1"/>
  <c r="B3" i="10"/>
  <c r="C117" i="9"/>
  <c r="C120" i="9"/>
  <c r="C10" i="9"/>
  <c r="C9" i="9"/>
  <c r="C11" i="9"/>
  <c r="C82" i="9"/>
  <c r="C85" i="9"/>
  <c r="C86" i="9"/>
  <c r="C83" i="9"/>
  <c r="C84" i="9"/>
  <c r="C121" i="9"/>
  <c r="C105" i="9"/>
  <c r="C106" i="9"/>
  <c r="C104" i="9"/>
  <c r="C18" i="9"/>
  <c r="C20" i="9"/>
  <c r="C19" i="9"/>
  <c r="C15" i="9"/>
  <c r="C12" i="9"/>
  <c r="C17" i="9"/>
  <c r="C14" i="9"/>
  <c r="C13" i="9"/>
  <c r="C16" i="9"/>
  <c r="C97" i="9"/>
  <c r="C96" i="9"/>
  <c r="C95" i="9"/>
  <c r="C98" i="9"/>
  <c r="C93" i="9"/>
  <c r="C99" i="9"/>
  <c r="C103" i="9"/>
  <c r="C94" i="9"/>
  <c r="C102" i="9"/>
  <c r="C100" i="9"/>
  <c r="C101" i="9"/>
  <c r="C21" i="9"/>
  <c r="C126" i="9"/>
  <c r="C127" i="9"/>
  <c r="C125" i="9"/>
  <c r="C124" i="9"/>
  <c r="C108" i="9"/>
  <c r="C118" i="9"/>
  <c r="C119" i="9"/>
  <c r="C91" i="9"/>
  <c r="C90" i="9"/>
  <c r="C112" i="9"/>
  <c r="C111" i="9"/>
  <c r="C110" i="9"/>
  <c r="C113" i="9"/>
  <c r="C114" i="9"/>
  <c r="C88" i="9"/>
  <c r="C89" i="9"/>
  <c r="C109" i="9"/>
  <c r="C123" i="9"/>
  <c r="C122" i="9"/>
  <c r="C92" i="9"/>
  <c r="C115" i="9"/>
  <c r="C116" i="9"/>
  <c r="C107" i="9"/>
  <c r="C87" i="9"/>
  <c r="R6" i="2"/>
  <c r="R7" i="2" s="1" a="1"/>
  <c r="R7" i="2" s="1"/>
  <c r="Q6" i="2"/>
  <c r="Q7" i="2" s="1" a="1"/>
  <c r="Q7" i="2" s="1"/>
  <c r="AX13" i="8"/>
  <c r="AX14" i="8" s="1" a="1"/>
  <c r="AX14" i="8" s="1"/>
  <c r="AY13" i="8"/>
  <c r="AY14" i="8" s="1" a="1"/>
  <c r="AY14" i="8" s="1"/>
  <c r="AW13" i="8"/>
  <c r="AW14" i="8" s="1" a="1"/>
  <c r="AW14" i="8" s="1"/>
  <c r="F27" i="15" l="1"/>
  <c r="F31" i="15"/>
  <c r="F7" i="15"/>
  <c r="F22" i="15"/>
  <c r="F38" i="15"/>
  <c r="F26" i="15"/>
  <c r="F23" i="15"/>
  <c r="F17" i="15"/>
  <c r="F33" i="15"/>
  <c r="F29" i="15"/>
  <c r="F40" i="15"/>
  <c r="F13" i="15"/>
  <c r="C5" i="15"/>
  <c r="D5" i="15" s="1"/>
  <c r="E36" i="15"/>
  <c r="F36" i="15" s="1"/>
  <c r="E41" i="15"/>
  <c r="F41" i="15" s="1"/>
  <c r="E35" i="15"/>
  <c r="F35" i="15" s="1"/>
  <c r="E9" i="15"/>
  <c r="F9" i="15" s="1"/>
  <c r="E5" i="15"/>
  <c r="E10" i="15"/>
  <c r="F10" i="15" s="1"/>
  <c r="E39" i="15"/>
  <c r="F39" i="15" s="1"/>
  <c r="E32" i="15"/>
  <c r="F32" i="15" s="1"/>
  <c r="E25" i="15"/>
  <c r="F25" i="15" s="1"/>
  <c r="E6" i="15"/>
  <c r="F6" i="15" s="1"/>
  <c r="E12" i="15"/>
  <c r="F12" i="15" s="1"/>
  <c r="E30" i="15"/>
  <c r="F30" i="15" s="1"/>
  <c r="E34" i="15"/>
  <c r="F34" i="15" s="1"/>
  <c r="E16" i="15"/>
  <c r="F16" i="15" s="1"/>
  <c r="E24" i="15"/>
  <c r="F24" i="15" s="1"/>
  <c r="E28" i="15"/>
  <c r="F28" i="15" s="1"/>
  <c r="E15" i="15"/>
  <c r="F15" i="15" s="1"/>
  <c r="E21" i="15"/>
  <c r="F21" i="15" s="1"/>
  <c r="E18" i="15"/>
  <c r="F18" i="15" s="1"/>
  <c r="E8" i="15"/>
  <c r="F8" i="15" s="1"/>
  <c r="E37" i="15"/>
  <c r="F37" i="15" s="1"/>
  <c r="E11" i="15"/>
  <c r="F11" i="15" s="1"/>
  <c r="F9" i="2"/>
  <c r="F39" i="2"/>
  <c r="F31" i="2"/>
  <c r="F23" i="2"/>
  <c r="F15" i="2"/>
  <c r="F80" i="2"/>
  <c r="F63" i="2"/>
  <c r="F55" i="2"/>
  <c r="F47" i="2"/>
  <c r="F72" i="2"/>
  <c r="F48" i="2"/>
  <c r="F40" i="2"/>
  <c r="F32" i="2"/>
  <c r="F16" i="2"/>
  <c r="F8" i="2"/>
  <c r="F41" i="2"/>
  <c r="F25" i="2"/>
  <c r="F17" i="2"/>
  <c r="F10" i="2"/>
  <c r="F96" i="2"/>
  <c r="F56" i="2"/>
  <c r="F24" i="2"/>
  <c r="F66" i="2"/>
  <c r="F50" i="2"/>
  <c r="F34" i="2"/>
  <c r="F26" i="2"/>
  <c r="F18" i="2"/>
  <c r="F102" i="2"/>
  <c r="F94" i="2"/>
  <c r="F86" i="2"/>
  <c r="F78" i="2"/>
  <c r="F70" i="2"/>
  <c r="F62" i="2"/>
  <c r="F54" i="2"/>
  <c r="F46" i="2"/>
  <c r="F38" i="2"/>
  <c r="F30" i="2"/>
  <c r="F22" i="2"/>
  <c r="F14" i="2"/>
  <c r="F57" i="2"/>
  <c r="F33" i="2"/>
  <c r="F118" i="2"/>
  <c r="F110" i="2"/>
  <c r="F90" i="2"/>
  <c r="F113" i="2"/>
  <c r="F105" i="2"/>
  <c r="F97" i="2"/>
  <c r="F89" i="2"/>
  <c r="F81" i="2"/>
  <c r="F73" i="2"/>
  <c r="F65" i="2"/>
  <c r="F49" i="2"/>
  <c r="F83" i="2"/>
  <c r="F11" i="2"/>
  <c r="F104" i="2"/>
  <c r="F88" i="2"/>
  <c r="F64" i="2"/>
  <c r="F67" i="2"/>
  <c r="F51" i="2"/>
  <c r="F43" i="2"/>
  <c r="F35" i="2"/>
  <c r="F27" i="2"/>
  <c r="F19" i="2"/>
  <c r="F100" i="2"/>
  <c r="F12" i="2"/>
  <c r="F112" i="2"/>
  <c r="F114" i="2"/>
  <c r="F106" i="2"/>
  <c r="F98" i="2"/>
  <c r="F82" i="2"/>
  <c r="F74" i="2"/>
  <c r="F58" i="2"/>
  <c r="F42" i="2"/>
  <c r="F116" i="2"/>
  <c r="F108" i="2"/>
  <c r="F92" i="2"/>
  <c r="F84" i="2"/>
  <c r="F76" i="2"/>
  <c r="F68" i="2"/>
  <c r="F60" i="2"/>
  <c r="F52" i="2"/>
  <c r="F44" i="2"/>
  <c r="F36" i="2"/>
  <c r="F28" i="2"/>
  <c r="F20" i="2"/>
  <c r="F85" i="2"/>
  <c r="F21" i="2"/>
  <c r="F117" i="2"/>
  <c r="F109" i="2"/>
  <c r="F101" i="2"/>
  <c r="F93" i="2"/>
  <c r="F77" i="2"/>
  <c r="F69" i="2"/>
  <c r="F61" i="2"/>
  <c r="F53" i="2"/>
  <c r="F45" i="2"/>
  <c r="F37" i="2"/>
  <c r="F29" i="2"/>
  <c r="F13" i="2"/>
  <c r="F115" i="2"/>
  <c r="F107" i="2"/>
  <c r="F99" i="2"/>
  <c r="F91" i="2"/>
  <c r="F75" i="2"/>
  <c r="F59" i="2"/>
  <c r="F7" i="2"/>
  <c r="F119" i="2"/>
  <c r="F111" i="2"/>
  <c r="F103" i="2"/>
  <c r="F95" i="2"/>
  <c r="F87" i="2"/>
  <c r="F79" i="2"/>
  <c r="F71" i="2"/>
  <c r="F8" i="6"/>
  <c r="AU2" i="8"/>
  <c r="AU1" i="8"/>
  <c r="F5" i="15" l="1"/>
  <c r="E2"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<sst xmlns="http://schemas.openxmlformats.org/spreadsheetml/2006/main" count="750" uniqueCount="259">
  <si>
    <t>MASTER CIGARETTES</t>
  </si>
  <si>
    <t>Tanggal</t>
  </si>
  <si>
    <t>Nama</t>
  </si>
  <si>
    <t>SIM</t>
  </si>
  <si>
    <t>Produk</t>
  </si>
  <si>
    <t>MD 20</t>
  </si>
  <si>
    <t>NAMA :</t>
  </si>
  <si>
    <t>Rincian Pelanggan</t>
  </si>
  <si>
    <t>Qty</t>
  </si>
  <si>
    <t>TOTAL :</t>
  </si>
  <si>
    <t>Kode</t>
  </si>
  <si>
    <t>TANGGAL</t>
  </si>
  <si>
    <t>NAMA PEMBELI</t>
  </si>
  <si>
    <t>PRODUK</t>
  </si>
  <si>
    <t>Subtotal</t>
  </si>
  <si>
    <t>GUDANG BATIK</t>
  </si>
  <si>
    <t xml:space="preserve">AYK </t>
  </si>
  <si>
    <t>HMIN</t>
  </si>
  <si>
    <t>MARBOLL SEMANGKA</t>
  </si>
  <si>
    <t>MD 16</t>
  </si>
  <si>
    <t>ANG BOLONG</t>
  </si>
  <si>
    <t>SURYA HITAM</t>
  </si>
  <si>
    <t>ESTE MANGGA</t>
  </si>
  <si>
    <t>ESTE MILD</t>
  </si>
  <si>
    <t>ESTE BLUEBERRY</t>
  </si>
  <si>
    <t>LUXIO BLUEBERRY</t>
  </si>
  <si>
    <t>MARBOLL BLUEBERRY</t>
  </si>
  <si>
    <t>G MILD</t>
  </si>
  <si>
    <t>MJI</t>
  </si>
  <si>
    <t>MARBOLL HLP</t>
  </si>
  <si>
    <t>MC MERAH LOKAL</t>
  </si>
  <si>
    <t>MARBLONG</t>
  </si>
  <si>
    <t>WHY</t>
  </si>
  <si>
    <t>RAYDAN BLUE</t>
  </si>
  <si>
    <t>ESTE MELON</t>
  </si>
  <si>
    <t>54RYA KARDUS</t>
  </si>
  <si>
    <t>SURYAKU PLASTIK</t>
  </si>
  <si>
    <t>HM NEW</t>
  </si>
  <si>
    <t>PTB</t>
  </si>
  <si>
    <t>NC BLUE 20</t>
  </si>
  <si>
    <t>AZM</t>
  </si>
  <si>
    <t>SKL</t>
  </si>
  <si>
    <t>AHL</t>
  </si>
  <si>
    <t>SMITH LOKAL ANGGUR</t>
  </si>
  <si>
    <t>SMITH LOKAL SEMANGKA</t>
  </si>
  <si>
    <t>SMITH LOKAL MELON</t>
  </si>
  <si>
    <t>UMK</t>
  </si>
  <si>
    <t>STN</t>
  </si>
  <si>
    <t>SS</t>
  </si>
  <si>
    <t>HM SP</t>
  </si>
  <si>
    <t>HM MP</t>
  </si>
  <si>
    <t>HM PRO 20</t>
  </si>
  <si>
    <t>HM TEA</t>
  </si>
  <si>
    <t>SS BOLONG</t>
  </si>
  <si>
    <t>LUXIO MANGGA</t>
  </si>
  <si>
    <t>YDI</t>
  </si>
  <si>
    <t>GRS</t>
  </si>
  <si>
    <t>ANG MELON</t>
  </si>
  <si>
    <t>HM GRAPE</t>
  </si>
  <si>
    <t>MARBOLL MANUAL</t>
  </si>
  <si>
    <t>PND</t>
  </si>
  <si>
    <t>SURYA JAYA</t>
  </si>
  <si>
    <t>MARBOLL MELON</t>
  </si>
  <si>
    <t>Laporan Stok Barang</t>
  </si>
  <si>
    <t>Barang Masuk</t>
  </si>
  <si>
    <t>Barang Keluar</t>
  </si>
  <si>
    <t>Tanggal Stok Awal</t>
  </si>
  <si>
    <t>Tanggal Stok Akhir</t>
  </si>
  <si>
    <t>Kuantiti</t>
  </si>
  <si>
    <t>Tabel bantu</t>
  </si>
  <si>
    <t>Awal</t>
  </si>
  <si>
    <t>In</t>
  </si>
  <si>
    <t>Out</t>
  </si>
  <si>
    <t>Akhir</t>
  </si>
  <si>
    <t>Ket</t>
  </si>
  <si>
    <t>54RYA MERAH HITAM</t>
  </si>
  <si>
    <t>AGUNG PRO</t>
  </si>
  <si>
    <t>ANG ANGGUR</t>
  </si>
  <si>
    <t>ANG MANGGA</t>
  </si>
  <si>
    <t>ANG MP</t>
  </si>
  <si>
    <t>ANG SEMANGKA</t>
  </si>
  <si>
    <t>AVATAR</t>
  </si>
  <si>
    <t>AVATAR BLUEBERRY</t>
  </si>
  <si>
    <t>AVATAR JERUK</t>
  </si>
  <si>
    <t>BALVER ANGGUR</t>
  </si>
  <si>
    <t>BALVER HITAM</t>
  </si>
  <si>
    <t>BALVER MANGGA</t>
  </si>
  <si>
    <t>BALVER MELON</t>
  </si>
  <si>
    <t>BALVER SEMANGKA</t>
  </si>
  <si>
    <t>BATAM SMITH HIJAU</t>
  </si>
  <si>
    <t>BATAM SMITH MERAH</t>
  </si>
  <si>
    <t>DJARUMKU BOLD</t>
  </si>
  <si>
    <t>ESS BLUEBERRY</t>
  </si>
  <si>
    <t>ESS GRAPE</t>
  </si>
  <si>
    <t>ESS MANGO</t>
  </si>
  <si>
    <t>ESS MELON</t>
  </si>
  <si>
    <t>ESS SEMANGKA</t>
  </si>
  <si>
    <t>ESS STRAWBERRY</t>
  </si>
  <si>
    <t>GAJAH BIRU</t>
  </si>
  <si>
    <t>GAJAH MERAH</t>
  </si>
  <si>
    <t>GICO</t>
  </si>
  <si>
    <t>GUDANG BINTANG</t>
  </si>
  <si>
    <t>GUDANG EMAS</t>
  </si>
  <si>
    <t>HM BOLD</t>
  </si>
  <si>
    <t>HM BROWN</t>
  </si>
  <si>
    <t>HM GRAPE 16</t>
  </si>
  <si>
    <t>HM ICE</t>
  </si>
  <si>
    <t>HM MANGGO</t>
  </si>
  <si>
    <t>HM MANGGO 16</t>
  </si>
  <si>
    <t>HM MELON</t>
  </si>
  <si>
    <t>HM MELON 16</t>
  </si>
  <si>
    <t>HM PRO 16</t>
  </si>
  <si>
    <t>HM SLIM MANGGA</t>
  </si>
  <si>
    <t>HM SUPER SLIM</t>
  </si>
  <si>
    <t>INVECTUS</t>
  </si>
  <si>
    <t>JENGGER</t>
  </si>
  <si>
    <t>LEXI ANGGUR</t>
  </si>
  <si>
    <t>LEXI BLEWAH</t>
  </si>
  <si>
    <t>LEXI BLUEBERRY</t>
  </si>
  <si>
    <t>LEXI MANGGA</t>
  </si>
  <si>
    <t>LEXI MELON</t>
  </si>
  <si>
    <t>LUXIO MILD</t>
  </si>
  <si>
    <t>MARBOLL ICE</t>
  </si>
  <si>
    <t>MARLONG</t>
  </si>
  <si>
    <t>MC PUTIH LOKAL</t>
  </si>
  <si>
    <t>MILDE</t>
  </si>
  <si>
    <t>NC ANGGUR</t>
  </si>
  <si>
    <t>NC BLUBERY</t>
  </si>
  <si>
    <t>NC HULK ANGGUR</t>
  </si>
  <si>
    <t>NC HULK MELON</t>
  </si>
  <si>
    <t>NC LECI</t>
  </si>
  <si>
    <t>NC MANGGA</t>
  </si>
  <si>
    <t>NC MELON</t>
  </si>
  <si>
    <t>NC MINT</t>
  </si>
  <si>
    <t>NC NANAS</t>
  </si>
  <si>
    <t>NC SEMANGKA</t>
  </si>
  <si>
    <t>RAYDAB MELON</t>
  </si>
  <si>
    <t>RAYDAN</t>
  </si>
  <si>
    <t>REBEL</t>
  </si>
  <si>
    <t>SAMLIOK</t>
  </si>
  <si>
    <t>SANMARINO</t>
  </si>
  <si>
    <t>SMITH LOKAL MANGGA</t>
  </si>
  <si>
    <t>SMITH LOKAL STRAW</t>
  </si>
  <si>
    <t>SURYA KARTON</t>
  </si>
  <si>
    <t>TALI JAYA</t>
  </si>
  <si>
    <t>YS BOLD</t>
  </si>
  <si>
    <t>YS PRO MIL</t>
  </si>
  <si>
    <t>ZA ANGGUR</t>
  </si>
  <si>
    <t>ZA MANGGA</t>
  </si>
  <si>
    <t>ZA PUTIH</t>
  </si>
  <si>
    <t>ZA UNGU</t>
  </si>
  <si>
    <t>MAXI</t>
  </si>
  <si>
    <t>EVEREST BLUE</t>
  </si>
  <si>
    <t>EVEREST ANGGUR</t>
  </si>
  <si>
    <t>CV. MASTER CIGARETTES</t>
  </si>
  <si>
    <t>LAPORAN NERACA</t>
  </si>
  <si>
    <t>PER</t>
  </si>
  <si>
    <t>AKTIVA</t>
  </si>
  <si>
    <t>NAMA/KODE PELANGGAN</t>
  </si>
  <si>
    <t>Total Pelanggan</t>
  </si>
  <si>
    <t>MHF</t>
  </si>
  <si>
    <t>ALT</t>
  </si>
  <si>
    <t>RSI</t>
  </si>
  <si>
    <t>SKD</t>
  </si>
  <si>
    <t>NDL</t>
  </si>
  <si>
    <t>RNI</t>
  </si>
  <si>
    <t>WNK</t>
  </si>
  <si>
    <t>CSM</t>
  </si>
  <si>
    <t>LKM</t>
  </si>
  <si>
    <t>TGH</t>
  </si>
  <si>
    <t>AMB</t>
  </si>
  <si>
    <t>Total Produk</t>
  </si>
  <si>
    <t>tabel bantu</t>
  </si>
  <si>
    <t>nama</t>
  </si>
  <si>
    <t>produk</t>
  </si>
  <si>
    <t>AYIK</t>
  </si>
  <si>
    <t>MAHFUD</t>
  </si>
  <si>
    <t>PONADI</t>
  </si>
  <si>
    <t>UPN ALIT</t>
  </si>
  <si>
    <t>UPN ROSI</t>
  </si>
  <si>
    <t xml:space="preserve">SEKOLILO </t>
  </si>
  <si>
    <t>SETIONO</t>
  </si>
  <si>
    <t>SIMO</t>
  </si>
  <si>
    <t>NUR DOLLY</t>
  </si>
  <si>
    <t>ADEK HILMIA</t>
  </si>
  <si>
    <t xml:space="preserve">UMIK </t>
  </si>
  <si>
    <t xml:space="preserve">RONI </t>
  </si>
  <si>
    <t>AZMI</t>
  </si>
  <si>
    <t>WONOKROMO</t>
  </si>
  <si>
    <t>CHAN SMOKE</t>
  </si>
  <si>
    <t xml:space="preserve">LUKMAN </t>
  </si>
  <si>
    <t>TEGUH</t>
  </si>
  <si>
    <t xml:space="preserve">AMBON </t>
  </si>
  <si>
    <t>SEKOLILO DEPAN</t>
  </si>
  <si>
    <t xml:space="preserve">PUTAR BALIK </t>
  </si>
  <si>
    <t xml:space="preserve">GERSIK </t>
  </si>
  <si>
    <t>YADI</t>
  </si>
  <si>
    <t>WAHYU</t>
  </si>
  <si>
    <t>MUJI</t>
  </si>
  <si>
    <t>EVEREST MELON</t>
  </si>
  <si>
    <t>EVEREST SEMANGKA</t>
  </si>
  <si>
    <t>BIG BOSS</t>
  </si>
  <si>
    <t>BOSS CAFE LATTE</t>
  </si>
  <si>
    <t>HM BOLONG</t>
  </si>
  <si>
    <t xml:space="preserve">HARGA MODAL </t>
  </si>
  <si>
    <t>BAGI PENJUAL</t>
  </si>
  <si>
    <t>Skala Prioritas Analisa Bisnis</t>
  </si>
  <si>
    <t>SOLUSI</t>
  </si>
  <si>
    <t>KEBUTUHAN TERIKAT</t>
  </si>
  <si>
    <t>OUTPUT</t>
  </si>
  <si>
    <t>barang tidak ready tiap hari</t>
  </si>
  <si>
    <t>a, b, c,</t>
  </si>
  <si>
    <t>a</t>
  </si>
  <si>
    <t>Ada tandon</t>
  </si>
  <si>
    <t>biaya
gudang
keamanan</t>
  </si>
  <si>
    <t>1. seleksi produk; produk mana yang perlu diprioritaskan untuk masuk gudang
2. Analisa penjualan (margin)</t>
  </si>
  <si>
    <t>barang akan ready
stock opname terdata rapi</t>
  </si>
  <si>
    <t>butuh pengiriman 24 jam</t>
  </si>
  <si>
    <t>b</t>
  </si>
  <si>
    <t>Tim</t>
  </si>
  <si>
    <t>tenaga kerja
biaya</t>
  </si>
  <si>
    <t>sales</t>
  </si>
  <si>
    <t>perlu membangun kepercayaan</t>
  </si>
  <si>
    <t>c</t>
  </si>
  <si>
    <t>Service Excellent</t>
  </si>
  <si>
    <t>tenaga kerja terampil
pengikat</t>
  </si>
  <si>
    <t>latihan, observasi</t>
  </si>
  <si>
    <t>orisinalitas produk</t>
  </si>
  <si>
    <t>d</t>
  </si>
  <si>
    <t>double check</t>
  </si>
  <si>
    <t>garansi untuk produk kw buat custumer 
Meminta garansi produk KW ke pengepul 
d</t>
  </si>
  <si>
    <t>produk bersifat tidak pasti</t>
  </si>
  <si>
    <t>e</t>
  </si>
  <si>
    <t>-</t>
  </si>
  <si>
    <t>Produsen</t>
  </si>
  <si>
    <t>BAGI DISTRIBUTOR</t>
  </si>
  <si>
    <t>harga variatif</t>
  </si>
  <si>
    <t xml:space="preserve">pengammbilan lebih besar untuk mendapatkan harga maksimal </t>
  </si>
  <si>
    <t>barang tergantung pabrik</t>
  </si>
  <si>
    <t xml:space="preserve">prioritas produk menjadi opsi utama untuk jumlah pengambilan </t>
  </si>
  <si>
    <t>tidak semua orderan customer terpenhi (barang kosong)</t>
  </si>
  <si>
    <t xml:space="preserve">mempunyai data list seluruh produk yang bisa diorderkan
memperbanyak custumer untuk meningkatkan quantiti produk yang tidak slalu ready </t>
  </si>
  <si>
    <t>pengamanan</t>
  </si>
  <si>
    <t xml:space="preserve">cost
mencari perkenanalan </t>
  </si>
  <si>
    <t>modal</t>
  </si>
  <si>
    <t xml:space="preserve">mencari investor dengan hitungan dan pembagian yang jelas </t>
  </si>
  <si>
    <t>TIM/SDM</t>
  </si>
  <si>
    <t>akomodasi</t>
  </si>
  <si>
    <t>Nama Produk</t>
  </si>
  <si>
    <t>Modal</t>
  </si>
  <si>
    <t>Jual</t>
  </si>
  <si>
    <t>Laba/Rugi</t>
  </si>
  <si>
    <t>Total Laba</t>
  </si>
  <si>
    <t>Pelanggan Baru</t>
  </si>
  <si>
    <t>Kategori</t>
  </si>
  <si>
    <t>Produk Baru</t>
  </si>
  <si>
    <t>SRF</t>
  </si>
  <si>
    <t>SML</t>
  </si>
  <si>
    <t>Harga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</si>
</sst>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 * &quot;:&quot;"/>
    <numFmt numFmtId="165" formatCode="[$-421]dd\ mmmm\ yyyy;@"/>
    <numFmt numFmtId="166" formatCode="dd\-mm\-yyyy;@"/>
    <numFmt numFmtId="167" formatCode="_(* #,##0_);_(* \(#,##0\);_(* &quot;-&quot;??_);_(@_)"/>
    <numFmt numFmtId="168" formatCode="dd/mm/yyyy;@"/>
    <numFmt numFmtId="169" formatCode="_-[$Rp-3809]* #,##0_-;\-[$Rp-3809]* #,##0_-;_-[$Rp-3809]* &quot;-&quot;??_-;_-@_-"/>
    <numFmt numFmtId="170" formatCode="_-[$Rp-3809]* #,##0.00_-;\-[$Rp-3809]* #,##0.00_-;_-[$Rp-3809]* &quot;-&quot;??_-;_-@_-"/>
  </numFmts>
  <fonts count="25" x14ac:knownFonts="1">
    <font>
      <sz val="11"/>
      <color theme="1"/>
      <name val="Calibri"/>
      <family val="2"/>
      <scheme val="minor"/>
    </font>
    <font>
      <b/>
      <sz val="11"/>
      <color theme="1"/>
      <name val="Calibri"/>
      <family val="2"/>
      <scheme val="minor"/>
    </font>
    <font>
      <sz val="11"/>
      <color theme="1"/>
      <name val="Calibri"/>
      <family val="2"/>
      <scheme val="minor"/>
    </font>
    <font>
      <b/>
      <sz val="11"/>
      <color rgb="FFFF0000"/>
      <name val="Calibri"/>
      <family val="2"/>
      <scheme val="minor"/>
    </font>
    <font>
      <sz val="8"/>
      <name val="Calibri"/>
      <family val="2"/>
      <scheme val="minor"/>
    </font>
    <font>
      <b/>
      <u/>
      <sz val="22"/>
      <color theme="1"/>
      <name val="Courier New"/>
      <family val="3"/>
    </font>
    <font>
      <b/>
      <sz val="12"/>
      <color theme="1"/>
      <name val="Calibri"/>
      <family val="2"/>
      <scheme val="minor"/>
    </font>
    <font>
      <b/>
      <sz val="11"/>
      <color theme="0"/>
      <name val="Calibri"/>
      <family val="2"/>
      <scheme val="minor"/>
    </font>
    <font>
      <sz val="11"/>
      <color theme="0"/>
      <name val="Calibri"/>
      <family val="2"/>
      <scheme val="minor"/>
    </font>
    <font>
      <b/>
      <sz val="11"/>
      <color rgb="FFFF0000"/>
      <name val="Courier New"/>
      <family val="3"/>
    </font>
    <font>
      <b/>
      <sz val="11"/>
      <name val="Calibri"/>
      <family val="2"/>
      <scheme val="minor"/>
    </font>
    <font>
      <b/>
      <sz val="12"/>
      <color theme="1"/>
      <name val="Courier New"/>
      <family val="3"/>
    </font>
    <font>
      <sz val="11"/>
      <name val="Calibri"/>
      <family val="2"/>
      <scheme val="minor"/>
    </font>
    <font>
      <b/>
      <sz val="12"/>
      <color theme="0"/>
      <name val="Calibri"/>
      <family val="2"/>
      <scheme val="minor"/>
    </font>
    <font>
      <sz val="12"/>
      <name val="Calibri"/>
      <family val="2"/>
      <scheme val="minor"/>
    </font>
    <font>
      <b/>
      <sz val="14"/>
      <color theme="0"/>
      <name val="Courier New"/>
      <family val="3"/>
    </font>
    <font>
      <b/>
      <sz val="12"/>
      <color theme="0"/>
      <name val="Courier New"/>
      <family val="3"/>
    </font>
    <font>
      <b/>
      <sz val="11"/>
      <color rgb="FF7030A0"/>
      <name val="Calibri"/>
      <family val="2"/>
      <scheme val="minor"/>
    </font>
    <font>
      <sz val="11"/>
      <color rgb="FFFF0000"/>
      <name val="Calibri"/>
      <family val="2"/>
      <scheme val="minor"/>
    </font>
    <font>
      <b/>
      <sz val="14"/>
      <color rgb="FF000000"/>
      <name val="Courier New"/>
      <family val="3"/>
    </font>
    <font>
      <b/>
      <sz val="11"/>
      <color rgb="FF0000FF"/>
      <name val="Calibri"/>
      <family val="2"/>
    </font>
    <font>
      <b/>
      <sz val="11"/>
      <color rgb="FFFF0000"/>
      <name val="Calibri"/>
      <family val="2"/>
    </font>
    <font>
      <b/>
      <sz val="11"/>
      <color rgb="FF339966"/>
      <name val="Calibri"/>
      <family val="2"/>
    </font>
    <font>
      <sz val="12"/>
      <color theme="0"/>
      <name val="Calibri"/>
      <family val="2"/>
      <scheme val="minor"/>
    </font>
    <font>
      <b/>
      <sz val="11"/>
      <color rgb="FFFF6600"/>
      <name val="Calibri"/>
      <family val="2"/>
    </font>
  </fonts>
  <fills count="15">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2" tint="-0.249977111117893"/>
        <bgColor indexed="64"/>
      </patternFill>
    </fill>
    <fill>
      <patternFill patternType="solid">
        <fgColor rgb="FF00B050"/>
        <bgColor indexed="64"/>
      </patternFill>
    </fill>
    <fill>
      <patternFill patternType="solid">
        <fgColor rgb="FF0070C0"/>
        <bgColor indexed="64"/>
      </patternFill>
    </fill>
    <fill>
      <patternFill patternType="solid">
        <fgColor theme="4" tint="-0.499984740745262"/>
        <bgColor indexed="64"/>
      </patternFill>
    </fill>
    <fill>
      <patternFill patternType="solid">
        <fgColor theme="7" tint="0.59999389629810485"/>
        <bgColor indexed="64"/>
      </patternFill>
    </fill>
    <fill>
      <patternFill patternType="solid">
        <fgColor theme="2" tint="-0.499984740745262"/>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dotted">
        <color indexed="64"/>
      </left>
      <right style="dotted">
        <color indexed="64"/>
      </right>
      <top style="dotted">
        <color indexed="64"/>
      </top>
      <bottom style="dotted">
        <color indexed="64"/>
      </bottom>
      <diagonal/>
    </border>
    <border>
      <left style="dotted">
        <color indexed="64"/>
      </left>
      <right style="dashed">
        <color indexed="64"/>
      </right>
      <top style="dashed">
        <color indexed="64"/>
      </top>
      <bottom style="dotted">
        <color indexed="64"/>
      </bottom>
      <diagonal/>
    </border>
    <border>
      <left style="dotted">
        <color indexed="64"/>
      </left>
      <right style="dashed">
        <color indexed="64"/>
      </right>
      <top style="dotted">
        <color indexed="64"/>
      </top>
      <bottom style="dashed">
        <color indexed="64"/>
      </bottom>
      <diagonal/>
    </border>
    <border>
      <left/>
      <right/>
      <top style="thin">
        <color indexed="64"/>
      </top>
      <bottom style="double">
        <color indexed="64"/>
      </bottom>
      <diagonal/>
    </border>
    <border>
      <left/>
      <right/>
      <top style="thin">
        <color indexed="64"/>
      </top>
      <bottom/>
      <diagonal/>
    </border>
    <border>
      <left style="thin">
        <color indexed="64"/>
      </left>
      <right style="thin">
        <color indexed="64"/>
      </right>
      <top/>
      <bottom/>
      <diagonal/>
    </border>
    <border>
      <left style="thin">
        <color theme="6"/>
      </left>
      <right style="thin">
        <color theme="6"/>
      </right>
      <top style="thin">
        <color theme="6"/>
      </top>
      <bottom style="thin">
        <color theme="6"/>
      </bottom>
      <diagonal/>
    </border>
    <border>
      <left style="thin">
        <color indexed="64"/>
      </left>
      <right style="thin">
        <color indexed="64"/>
      </right>
      <top style="thin">
        <color indexed="64"/>
      </top>
      <bottom/>
      <diagonal/>
    </border>
    <border>
      <left style="thin">
        <color indexed="64"/>
      </left>
      <right style="dotted">
        <color indexed="64"/>
      </right>
      <top style="thin">
        <color indexed="64"/>
      </top>
      <bottom style="dotted">
        <color indexed="64"/>
      </bottom>
      <diagonal/>
    </border>
    <border>
      <left style="dotted">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s>
  <cellStyleXfs count="2">
    <xf numFmtId="0" fontId="0" fillId="0" borderId="0"/>
    <xf numFmtId="43" fontId="2" fillId="0" borderId="0" applyFont="0" applyFill="0" applyBorder="0" applyAlignment="0" applyProtection="0"/>
  </cellStyleXfs>
  <cellXfs count="179">
    <xf numFmtId="0" fontId="0" fillId="0" borderId="0" xfId="0"/>
    <xf numFmtId="164" fontId="1" fillId="0" borderId="0" xfId="0" applyNumberFormat="1" applyFont="1"/>
    <xf numFmtId="0" fontId="0" fillId="0" borderId="0" xfId="0" applyAlignment="1">
      <alignment horizontal="center" vertical="center"/>
    </xf>
    <xf numFmtId="0" fontId="0" fillId="0" borderId="1" xfId="0" applyBorder="1" applyAlignment="1">
      <alignment horizontal="left"/>
    </xf>
    <xf numFmtId="165" fontId="3" fillId="0" borderId="1" xfId="0" applyNumberFormat="1" applyFont="1" applyBorder="1" applyAlignment="1">
      <alignment horizontal="left" vertical="center"/>
    </xf>
    <xf numFmtId="164" fontId="1" fillId="3" borderId="1" xfId="0" applyNumberFormat="1" applyFont="1" applyFill="1" applyBorder="1"/>
    <xf numFmtId="0" fontId="5" fillId="0" borderId="0" xfId="0" applyFont="1"/>
    <xf numFmtId="0" fontId="0" fillId="0" borderId="0" xfId="0" applyAlignment="1">
      <alignment horizontal="left" vertical="center"/>
    </xf>
    <xf numFmtId="0" fontId="0" fillId="0" borderId="0" xfId="0" applyAlignment="1">
      <alignment horizontal="right"/>
    </xf>
    <xf numFmtId="43" fontId="0" fillId="0" borderId="0" xfId="1" applyFont="1" applyBorder="1" applyAlignment="1">
      <alignment horizontal="right"/>
    </xf>
    <xf numFmtId="0" fontId="0" fillId="0" borderId="0" xfId="0" applyAlignment="1">
      <alignment horizontal="left"/>
    </xf>
    <xf numFmtId="0" fontId="1" fillId="2" borderId="1" xfId="0" applyFont="1" applyFill="1" applyBorder="1" applyAlignment="1">
      <alignment horizontal="right" vertical="center"/>
    </xf>
    <xf numFmtId="0" fontId="0" fillId="0" borderId="1" xfId="0" applyBorder="1"/>
    <xf numFmtId="0" fontId="0" fillId="0" borderId="3" xfId="0" applyBorder="1"/>
    <xf numFmtId="0" fontId="0" fillId="0" borderId="0" xfId="0" applyAlignment="1">
      <alignment horizontal="center"/>
    </xf>
    <xf numFmtId="0" fontId="1" fillId="0" borderId="1" xfId="0" applyFont="1" applyBorder="1" applyAlignment="1">
      <alignment horizontal="center"/>
    </xf>
    <xf numFmtId="0" fontId="1" fillId="5" borderId="1" xfId="0" applyFont="1" applyFill="1" applyBorder="1" applyAlignment="1">
      <alignment horizontal="centerContinuous"/>
    </xf>
    <xf numFmtId="0" fontId="1" fillId="5" borderId="1" xfId="0" applyFont="1" applyFill="1" applyBorder="1" applyAlignment="1">
      <alignment horizontal="center" vertical="center"/>
    </xf>
    <xf numFmtId="0" fontId="0" fillId="0" borderId="9"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1" fillId="0" borderId="0" xfId="0" applyFont="1" applyAlignment="1">
      <alignment horizontal="left" vertical="center"/>
    </xf>
    <xf numFmtId="43" fontId="1" fillId="0" borderId="1" xfId="1" applyFont="1" applyFill="1" applyBorder="1" applyAlignment="1">
      <alignment horizontal="center" vertical="center"/>
    </xf>
    <xf numFmtId="165" fontId="9" fillId="0" borderId="0" xfId="0" applyNumberFormat="1" applyFont="1" applyAlignment="1">
      <alignment horizontal="center" vertical="center"/>
    </xf>
    <xf numFmtId="167" fontId="0" fillId="0" borderId="0" xfId="1" applyNumberFormat="1" applyFont="1"/>
    <xf numFmtId="167" fontId="0" fillId="0" borderId="1" xfId="1" applyNumberFormat="1" applyFont="1" applyBorder="1"/>
    <xf numFmtId="164" fontId="10" fillId="3" borderId="1" xfId="0" applyNumberFormat="1" applyFont="1" applyFill="1" applyBorder="1"/>
    <xf numFmtId="167" fontId="0" fillId="0" borderId="0" xfId="0" applyNumberFormat="1"/>
    <xf numFmtId="0" fontId="11" fillId="0" borderId="0" xfId="0" applyFont="1" applyAlignment="1">
      <alignment horizontal="center" vertical="center"/>
    </xf>
    <xf numFmtId="167" fontId="0" fillId="0" borderId="0" xfId="1" applyNumberFormat="1" applyFont="1" applyFill="1"/>
    <xf numFmtId="167" fontId="0" fillId="0" borderId="0" xfId="1" applyNumberFormat="1" applyFont="1" applyFill="1" applyBorder="1"/>
    <xf numFmtId="0" fontId="6" fillId="5" borderId="1" xfId="0" applyFont="1" applyFill="1" applyBorder="1" applyAlignment="1">
      <alignment horizontal="centerContinuous"/>
    </xf>
    <xf numFmtId="167" fontId="2" fillId="0" borderId="0" xfId="1" applyNumberFormat="1" applyFont="1" applyFill="1" applyBorder="1"/>
    <xf numFmtId="0" fontId="12" fillId="0" borderId="0" xfId="0" applyFont="1"/>
    <xf numFmtId="0" fontId="10" fillId="7" borderId="1" xfId="0" applyFont="1" applyFill="1" applyBorder="1" applyAlignment="1">
      <alignment horizontal="centerContinuous"/>
    </xf>
    <xf numFmtId="0" fontId="10" fillId="7" borderId="1" xfId="0" applyFont="1" applyFill="1" applyBorder="1" applyAlignment="1">
      <alignment horizontal="center"/>
    </xf>
    <xf numFmtId="0" fontId="12" fillId="8" borderId="1" xfId="0" applyFont="1" applyFill="1" applyBorder="1"/>
    <xf numFmtId="43" fontId="12" fillId="8" borderId="1" xfId="0" applyNumberFormat="1" applyFont="1" applyFill="1" applyBorder="1"/>
    <xf numFmtId="0" fontId="0" fillId="0" borderId="16" xfId="0" applyBorder="1"/>
    <xf numFmtId="0" fontId="0" fillId="0" borderId="2" xfId="0" applyBorder="1"/>
    <xf numFmtId="167" fontId="0" fillId="0" borderId="5" xfId="1" applyNumberFormat="1" applyFont="1" applyBorder="1"/>
    <xf numFmtId="167" fontId="2" fillId="0" borderId="5" xfId="1" applyNumberFormat="1" applyFont="1" applyBorder="1"/>
    <xf numFmtId="167" fontId="0" fillId="0" borderId="17" xfId="1" applyNumberFormat="1" applyFont="1" applyBorder="1"/>
    <xf numFmtId="167" fontId="13" fillId="0" borderId="0" xfId="1" applyNumberFormat="1" applyFont="1" applyFill="1" applyBorder="1" applyAlignment="1">
      <alignment horizontal="center" vertical="center" wrapText="1"/>
    </xf>
    <xf numFmtId="0" fontId="13" fillId="0" borderId="0" xfId="0" applyFont="1" applyAlignment="1">
      <alignment horizontal="center" vertical="center"/>
    </xf>
    <xf numFmtId="167" fontId="13" fillId="7" borderId="4" xfId="1" applyNumberFormat="1" applyFont="1" applyFill="1" applyBorder="1" applyAlignment="1">
      <alignment horizontal="center" vertical="center" wrapText="1"/>
    </xf>
    <xf numFmtId="167" fontId="12" fillId="0" borderId="0" xfId="1" applyNumberFormat="1" applyFont="1" applyFill="1"/>
    <xf numFmtId="167" fontId="12" fillId="0" borderId="0" xfId="1" applyNumberFormat="1" applyFont="1" applyFill="1" applyBorder="1"/>
    <xf numFmtId="167" fontId="14" fillId="9" borderId="1" xfId="1" applyNumberFormat="1" applyFont="1" applyFill="1" applyBorder="1" applyAlignment="1">
      <alignment horizontal="center" vertical="center" wrapText="1"/>
    </xf>
    <xf numFmtId="0" fontId="0" fillId="0" borderId="0" xfId="1" applyNumberFormat="1" applyFont="1"/>
    <xf numFmtId="0" fontId="0" fillId="0" borderId="0" xfId="1" applyNumberFormat="1" applyFont="1" applyFill="1"/>
    <xf numFmtId="0" fontId="12" fillId="0" borderId="0" xfId="1" applyNumberFormat="1" applyFont="1" applyFill="1"/>
    <xf numFmtId="0" fontId="10" fillId="0" borderId="0" xfId="1" applyNumberFormat="1" applyFont="1" applyFill="1"/>
    <xf numFmtId="0" fontId="13" fillId="10" borderId="3" xfId="0" applyFont="1" applyFill="1" applyBorder="1" applyAlignment="1">
      <alignment horizontal="center" vertical="center" wrapText="1"/>
    </xf>
    <xf numFmtId="167" fontId="13" fillId="10" borderId="4" xfId="1" applyNumberFormat="1" applyFont="1" applyFill="1" applyBorder="1" applyAlignment="1">
      <alignment horizontal="center" vertical="center" wrapText="1"/>
    </xf>
    <xf numFmtId="167" fontId="13" fillId="10" borderId="15" xfId="1" applyNumberFormat="1" applyFont="1" applyFill="1" applyBorder="1" applyAlignment="1">
      <alignment horizontal="center" vertical="center" wrapText="1"/>
    </xf>
    <xf numFmtId="167" fontId="13" fillId="11" borderId="4" xfId="1" applyNumberFormat="1" applyFont="1" applyFill="1" applyBorder="1" applyAlignment="1">
      <alignment horizontal="center" vertical="center" wrapText="1"/>
    </xf>
    <xf numFmtId="164" fontId="7" fillId="6" borderId="1" xfId="0" applyNumberFormat="1" applyFont="1" applyFill="1" applyBorder="1"/>
    <xf numFmtId="167" fontId="8" fillId="0" borderId="0" xfId="1" applyNumberFormat="1" applyFont="1" applyFill="1"/>
    <xf numFmtId="0" fontId="16" fillId="0" borderId="0" xfId="0" applyFont="1" applyAlignment="1">
      <alignment horizontal="centerContinuous" vertical="center"/>
    </xf>
    <xf numFmtId="0" fontId="8" fillId="0" borderId="0" xfId="0" applyFont="1"/>
    <xf numFmtId="167" fontId="0" fillId="0" borderId="0" xfId="1" applyNumberFormat="1" applyFont="1" applyFill="1" applyBorder="1" applyAlignment="1">
      <alignment horizontal="center" vertical="center" wrapText="1"/>
    </xf>
    <xf numFmtId="0" fontId="15" fillId="10" borderId="21" xfId="0" applyFont="1" applyFill="1" applyBorder="1" applyAlignment="1">
      <alignment horizontal="centerContinuous" vertical="center"/>
    </xf>
    <xf numFmtId="0" fontId="16" fillId="10" borderId="21" xfId="0" applyFont="1" applyFill="1" applyBorder="1" applyAlignment="1">
      <alignment horizontal="centerContinuous" vertical="center"/>
    </xf>
    <xf numFmtId="0" fontId="15" fillId="11" borderId="21" xfId="0" applyFont="1" applyFill="1" applyBorder="1" applyAlignment="1">
      <alignment horizontal="centerContinuous" vertical="center"/>
    </xf>
    <xf numFmtId="0" fontId="16" fillId="11" borderId="21" xfId="0" applyFont="1" applyFill="1" applyBorder="1" applyAlignment="1">
      <alignment horizontal="centerContinuous" vertical="center"/>
    </xf>
    <xf numFmtId="0" fontId="15" fillId="7" borderId="21" xfId="0" applyFont="1" applyFill="1" applyBorder="1" applyAlignment="1">
      <alignment horizontal="centerContinuous" vertical="center"/>
    </xf>
    <xf numFmtId="0" fontId="16" fillId="7" borderId="21" xfId="0" applyFont="1" applyFill="1" applyBorder="1" applyAlignment="1">
      <alignment horizontal="centerContinuous" vertical="center"/>
    </xf>
    <xf numFmtId="167" fontId="0" fillId="0" borderId="0" xfId="1" applyNumberFormat="1" applyFont="1" applyFill="1" applyAlignment="1"/>
    <xf numFmtId="0" fontId="0" fillId="0" borderId="19" xfId="1" applyNumberFormat="1" applyFont="1" applyFill="1" applyBorder="1" applyAlignment="1"/>
    <xf numFmtId="167" fontId="13" fillId="11" borderId="4" xfId="1" applyNumberFormat="1" applyFont="1" applyFill="1" applyBorder="1" applyAlignment="1">
      <alignment horizontal="center" vertical="center"/>
    </xf>
    <xf numFmtId="167" fontId="0" fillId="0" borderId="0" xfId="1" applyNumberFormat="1" applyFont="1" applyFill="1" applyBorder="1" applyAlignment="1">
      <alignment horizontal="center" vertical="center"/>
    </xf>
    <xf numFmtId="167" fontId="0" fillId="0" borderId="0" xfId="1" applyNumberFormat="1" applyFont="1" applyFill="1" applyBorder="1" applyAlignment="1"/>
    <xf numFmtId="167" fontId="2" fillId="0" borderId="0" xfId="1" applyNumberFormat="1" applyFont="1" applyFill="1" applyBorder="1" applyAlignment="1"/>
    <xf numFmtId="0" fontId="0" fillId="0" borderId="20" xfId="1" applyNumberFormat="1" applyFont="1" applyFill="1" applyBorder="1" applyAlignment="1"/>
    <xf numFmtId="167" fontId="13" fillId="7" borderId="4" xfId="1" applyNumberFormat="1" applyFont="1" applyFill="1" applyBorder="1" applyAlignment="1">
      <alignment horizontal="center" vertical="center"/>
    </xf>
    <xf numFmtId="0" fontId="1" fillId="0" borderId="18" xfId="1" applyNumberFormat="1" applyFont="1" applyFill="1" applyBorder="1"/>
    <xf numFmtId="167" fontId="0" fillId="0" borderId="1" xfId="1" applyNumberFormat="1" applyFont="1" applyBorder="1" applyAlignment="1">
      <alignment horizontal="center"/>
    </xf>
    <xf numFmtId="168" fontId="0" fillId="0" borderId="0" xfId="1" applyNumberFormat="1" applyFont="1" applyFill="1" applyBorder="1" applyAlignment="1">
      <alignment horizontal="center" vertical="center" wrapText="1"/>
    </xf>
    <xf numFmtId="167" fontId="16" fillId="10" borderId="21" xfId="1" applyNumberFormat="1" applyFont="1" applyFill="1" applyBorder="1" applyAlignment="1">
      <alignment horizontal="centerContinuous" vertical="center"/>
    </xf>
    <xf numFmtId="14" fontId="0" fillId="0" borderId="0" xfId="0" applyNumberFormat="1"/>
    <xf numFmtId="167" fontId="0" fillId="0" borderId="6" xfId="1" applyNumberFormat="1" applyFont="1" applyBorder="1"/>
    <xf numFmtId="167" fontId="0" fillId="0" borderId="7" xfId="1" applyNumberFormat="1" applyFont="1" applyBorder="1"/>
    <xf numFmtId="0" fontId="7" fillId="12" borderId="1" xfId="0" applyFont="1" applyFill="1" applyBorder="1" applyAlignment="1">
      <alignment horizontal="center"/>
    </xf>
    <xf numFmtId="167" fontId="0" fillId="0" borderId="8" xfId="1" applyNumberFormat="1" applyFont="1" applyBorder="1"/>
    <xf numFmtId="167" fontId="0" fillId="0" borderId="9" xfId="1" applyNumberFormat="1" applyFont="1" applyBorder="1"/>
    <xf numFmtId="167" fontId="0" fillId="0" borderId="10" xfId="1" applyNumberFormat="1" applyFont="1" applyBorder="1"/>
    <xf numFmtId="167" fontId="0" fillId="0" borderId="11" xfId="1" applyNumberFormat="1" applyFont="1" applyBorder="1"/>
    <xf numFmtId="167" fontId="0" fillId="0" borderId="12" xfId="1" applyNumberFormat="1" applyFont="1" applyBorder="1"/>
    <xf numFmtId="167" fontId="0" fillId="0" borderId="13" xfId="1" applyNumberFormat="1" applyFont="1" applyBorder="1"/>
    <xf numFmtId="167" fontId="0" fillId="0" borderId="14" xfId="1" applyNumberFormat="1" applyFont="1" applyBorder="1"/>
    <xf numFmtId="0" fontId="1" fillId="0" borderId="0" xfId="0" applyFont="1" applyAlignment="1">
      <alignment horizontal="center"/>
    </xf>
    <xf numFmtId="0" fontId="0" fillId="0" borderId="1" xfId="1" applyNumberFormat="1" applyFont="1" applyFill="1" applyBorder="1" applyAlignment="1">
      <alignment horizontal="left"/>
    </xf>
    <xf numFmtId="166" fontId="0" fillId="0" borderId="0" xfId="0" applyNumberFormat="1" applyAlignment="1">
      <alignment horizontal="center" vertical="center"/>
    </xf>
    <xf numFmtId="0" fontId="10" fillId="0" borderId="0" xfId="0" applyFont="1" applyAlignment="1">
      <alignment horizontal="center" vertical="center"/>
    </xf>
    <xf numFmtId="167" fontId="0" fillId="0" borderId="0" xfId="1" applyNumberFormat="1" applyFont="1" applyFill="1" applyAlignment="1" applyProtection="1">
      <alignment horizontal="right" vertical="center"/>
    </xf>
    <xf numFmtId="0" fontId="0" fillId="0" borderId="0" xfId="0" quotePrefix="1"/>
    <xf numFmtId="0" fontId="0" fillId="0" borderId="0" xfId="0" applyAlignment="1">
      <alignment vertical="center"/>
    </xf>
    <xf numFmtId="0" fontId="0" fillId="13" borderId="0" xfId="0" applyFill="1" applyAlignment="1">
      <alignment vertical="center"/>
    </xf>
    <xf numFmtId="0" fontId="0" fillId="0" borderId="0" xfId="0" applyAlignment="1">
      <alignment vertical="center" wrapText="1"/>
    </xf>
    <xf numFmtId="0" fontId="18" fillId="0" borderId="0" xfId="0" applyFont="1" applyAlignment="1">
      <alignment vertical="center"/>
    </xf>
    <xf numFmtId="0" fontId="0" fillId="0" borderId="23" xfId="0" applyBorder="1"/>
    <xf numFmtId="0" fontId="8" fillId="4" borderId="0" xfId="0" applyFont="1" applyFill="1"/>
    <xf numFmtId="169" fontId="3" fillId="0" borderId="1" xfId="1" applyNumberFormat="1" applyFont="1" applyFill="1" applyBorder="1" applyAlignment="1">
      <alignment horizontal="center" vertical="center"/>
    </xf>
    <xf numFmtId="167" fontId="0" fillId="0" borderId="0" xfId="1" applyNumberFormat="1" applyFont="1" applyFill="1" applyBorder="1" applyAlignment="1">
      <alignment horizontal="left" vertical="center"/>
    </xf>
    <xf numFmtId="0" fontId="1" fillId="2" borderId="15" xfId="0" applyFont="1" applyFill="1" applyBorder="1" applyAlignment="1">
      <alignment horizontal="center"/>
    </xf>
    <xf numFmtId="0" fontId="0" fillId="2" borderId="5" xfId="0" applyFill="1" applyBorder="1"/>
    <xf numFmtId="0" fontId="7" fillId="4" borderId="17" xfId="0" applyFont="1" applyFill="1" applyBorder="1" applyAlignment="1">
      <alignment horizontal="centerContinuous" vertical="top"/>
    </xf>
    <xf numFmtId="0" fontId="8" fillId="4" borderId="22" xfId="0" applyFont="1" applyFill="1" applyBorder="1" applyAlignment="1">
      <alignment horizontal="centerContinuous" vertical="top"/>
    </xf>
    <xf numFmtId="0" fontId="8" fillId="4" borderId="16" xfId="0" applyFont="1" applyFill="1" applyBorder="1"/>
    <xf numFmtId="0" fontId="7" fillId="4" borderId="6" xfId="0" applyFont="1" applyFill="1" applyBorder="1" applyAlignment="1">
      <alignment horizontal="center" vertical="center"/>
    </xf>
    <xf numFmtId="0" fontId="7" fillId="4" borderId="7" xfId="0" applyFont="1" applyFill="1" applyBorder="1" applyAlignment="1">
      <alignment horizontal="center" vertical="center"/>
    </xf>
    <xf numFmtId="0" fontId="7" fillId="4" borderId="8" xfId="0" applyFont="1" applyFill="1" applyBorder="1" applyAlignment="1">
      <alignment horizontal="center" vertical="center"/>
    </xf>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167" fontId="13" fillId="11" borderId="3" xfId="1" applyNumberFormat="1" applyFont="1" applyFill="1" applyBorder="1" applyAlignment="1">
      <alignment horizontal="center" vertical="center" wrapText="1"/>
    </xf>
    <xf numFmtId="167" fontId="16" fillId="0" borderId="0" xfId="1" applyNumberFormat="1" applyFont="1" applyFill="1" applyBorder="1" applyAlignment="1">
      <alignment horizontal="centerContinuous" vertical="center"/>
    </xf>
    <xf numFmtId="167" fontId="0" fillId="0" borderId="18" xfId="1" applyNumberFormat="1" applyFont="1" applyFill="1" applyBorder="1" applyAlignment="1">
      <alignment horizontal="left"/>
    </xf>
    <xf numFmtId="167" fontId="0" fillId="0" borderId="0" xfId="1" applyNumberFormat="1" applyFont="1" applyFill="1" applyAlignment="1">
      <alignment horizontal="left"/>
    </xf>
    <xf numFmtId="0" fontId="0" fillId="0" borderId="18" xfId="1" applyNumberFormat="1" applyFont="1" applyFill="1" applyBorder="1" applyAlignment="1">
      <alignment horizontal="left"/>
    </xf>
    <xf numFmtId="167" fontId="0" fillId="0" borderId="0" xfId="1" applyNumberFormat="1" applyFont="1" applyFill="1" applyBorder="1" applyAlignment="1">
      <alignment horizontal="left"/>
    </xf>
    <xf numFmtId="167" fontId="2" fillId="0" borderId="0" xfId="1" applyNumberFormat="1" applyFont="1" applyFill="1" applyBorder="1" applyAlignment="1">
      <alignment horizontal="left"/>
    </xf>
    <xf numFmtId="0" fontId="0" fillId="6" borderId="5" xfId="0" applyFill="1" applyBorder="1"/>
    <xf numFmtId="0" fontId="0" fillId="6" borderId="9" xfId="0" applyFill="1" applyBorder="1" applyAlignment="1">
      <alignment horizontal="right"/>
    </xf>
    <xf numFmtId="0" fontId="0" fillId="6" borderId="10" xfId="0" applyFill="1" applyBorder="1" applyAlignment="1">
      <alignment horizontal="right"/>
    </xf>
    <xf numFmtId="0" fontId="0" fillId="6" borderId="11" xfId="0" applyFill="1" applyBorder="1" applyAlignment="1">
      <alignment horizontal="right"/>
    </xf>
    <xf numFmtId="0" fontId="0" fillId="6" borderId="0" xfId="0" applyFill="1" applyAlignment="1">
      <alignment horizontal="center"/>
    </xf>
    <xf numFmtId="0" fontId="0" fillId="6" borderId="0" xfId="0" applyFill="1"/>
    <xf numFmtId="0" fontId="12" fillId="6" borderId="0" xfId="0" applyFont="1" applyFill="1"/>
    <xf numFmtId="166" fontId="0" fillId="0" borderId="24" xfId="0" applyNumberFormat="1" applyFont="1" applyFill="1" applyBorder="1" applyAlignment="1">
      <alignment horizontal="center" vertical="center"/>
    </xf>
    <xf numFmtId="170" fontId="1" fillId="0" borderId="24" xfId="1" applyNumberFormat="1" applyFont="1" applyFill="1" applyBorder="1" applyAlignment="1">
      <alignment horizontal="center" vertical="center"/>
    </xf>
    <xf numFmtId="167" fontId="2" fillId="0" borderId="0" xfId="1" applyNumberFormat="1" applyFont="1"/>
    <xf numFmtId="0" fontId="13" fillId="14" borderId="25" xfId="0" applyFont="1" applyFill="1" applyBorder="1" applyAlignment="1">
      <alignment horizontal="center" vertical="center"/>
    </xf>
    <xf numFmtId="167" fontId="23" fillId="14" borderId="25" xfId="1" applyNumberFormat="1" applyFont="1" applyFill="1" applyBorder="1" applyAlignment="1">
      <alignment horizontal="center" vertical="center"/>
    </xf>
    <xf numFmtId="0" fontId="0" fillId="0" borderId="1" xfId="0" applyBorder="1" applyAlignment="1">
      <alignment horizontal="center" vertical="center"/>
    </xf>
    <xf numFmtId="167" fontId="0" fillId="0" borderId="27" xfId="1" applyNumberFormat="1" applyFont="1" applyBorder="1"/>
    <xf numFmtId="167" fontId="2" fillId="0" borderId="28" xfId="1" applyNumberFormat="1" applyFont="1" applyBorder="1"/>
    <xf numFmtId="167" fontId="0" fillId="0" borderId="18" xfId="1" applyNumberFormat="1" applyFont="1" applyBorder="1"/>
    <xf numFmtId="167" fontId="2" fillId="0" borderId="30" xfId="1" applyNumberFormat="1" applyFont="1" applyBorder="1"/>
    <xf numFmtId="167" fontId="0" fillId="0" borderId="32" xfId="1" applyNumberFormat="1" applyFont="1" applyBorder="1"/>
    <xf numFmtId="167" fontId="2" fillId="0" borderId="33" xfId="1" applyNumberFormat="1" applyFont="1" applyBorder="1"/>
    <xf numFmtId="167" fontId="0" fillId="0" borderId="26" xfId="1" applyNumberFormat="1" applyFont="1" applyBorder="1"/>
    <xf numFmtId="167" fontId="0" fillId="0" borderId="29" xfId="1" applyNumberFormat="1" applyFont="1" applyBorder="1"/>
    <xf numFmtId="167" fontId="0" fillId="0" borderId="31" xfId="1" applyNumberFormat="1" applyFont="1" applyBorder="1"/>
    <xf numFmtId="0" fontId="0" fillId="0" borderId="0" xfId="0" applyBorder="1" applyAlignment="1">
      <alignment horizontal="center" vertical="center"/>
    </xf>
    <xf numFmtId="0" fontId="0" fillId="0" borderId="0" xfId="0" applyBorder="1" applyAlignment="1">
      <alignment horizontal="left" vertical="center"/>
    </xf>
    <xf numFmtId="0" fontId="0" fillId="0" borderId="0" xfId="0" applyBorder="1" applyAlignment="1">
      <alignment horizontal="center"/>
    </xf>
    <xf numFmtId="164" fontId="1" fillId="0" borderId="1" xfId="0" applyNumberFormat="1" applyFont="1" applyBorder="1"/>
    <xf numFmtId="164" fontId="1" fillId="0" borderId="0" xfId="0" applyNumberFormat="1" applyFont="1" applyBorder="1"/>
    <xf numFmtId="0" fontId="1" fillId="2" borderId="1" xfId="0" applyFont="1" applyFill="1" applyBorder="1" applyAlignment="1">
      <alignment horizontal="center"/>
    </xf>
    <xf numFmtId="0" fontId="1" fillId="2" borderId="1" xfId="0" applyFont="1" applyFill="1" applyBorder="1" applyAlignment="1">
      <alignment horizontal="center" vertical="center"/>
    </xf>
    <xf numFmtId="0" fontId="0" fillId="0" borderId="23" xfId="0" applyBorder="1" applyAlignment="1">
      <alignment horizontal="center" vertical="center"/>
    </xf>
    <xf numFmtId="0" fontId="0" fillId="0" borderId="4" xfId="0" applyBorder="1"/>
    <xf numFmtId="0" fontId="0" fillId="0" borderId="4" xfId="0" applyBorder="1" applyAlignment="1">
      <alignment horizontal="center" vertical="center"/>
    </xf>
    <xf numFmtId="0" fontId="0" fillId="0" borderId="23" xfId="0" applyFont="1" applyFill="1" applyBorder="1" applyAlignment="1">
      <alignment horizontal="left"/>
    </xf>
    <xf numFmtId="0" fontId="0" fillId="0" borderId="0" xfId="0" applyBorder="1" applyAlignment="1">
      <alignment horizontal="left"/>
    </xf>
    <xf numFmtId="165" fontId="17" fillId="0" borderId="18" xfId="0" applyNumberFormat="1" applyFont="1" applyBorder="1" applyAlignment="1">
      <alignment horizontal="center"/>
    </xf>
    <xf numFmtId="0" fontId="0" fillId="2" borderId="5" xfId="0" applyFont="1" applyFill="1" applyBorder="1" applyAlignment="1">
      <alignment horizontal="left"/>
    </xf>
    <xf numFmtId="0" fontId="1" fillId="5" borderId="0" xfId="0" applyFont="1" applyFill="1" applyBorder="1" applyAlignment="1">
      <alignment horizontal="center" vertical="center"/>
    </xf>
    <xf numFmtId="0" fontId="0" fillId="0" borderId="1" xfId="0" applyBorder="1" applyAlignment="1">
      <alignment horizontal="center"/>
    </xf>
    <xf numFmtId="167" fontId="0" fillId="0" borderId="22" xfId="1" applyNumberFormat="1" applyFont="1" applyBorder="1"/>
    <xf numFmtId="167" fontId="0" fillId="0" borderId="16" xfId="1" applyNumberFormat="1" applyFont="1" applyBorder="1"/>
    <xf numFmtId="0" fontId="1" fillId="5" borderId="23" xfId="0" applyFont="1" applyFill="1" applyBorder="1" applyAlignment="1">
      <alignment horizontal="center" vertical="center"/>
    </xf>
    <xf numFmtId="0" fontId="0" fillId="0" borderId="23" xfId="0" applyFont="1" applyFill="1" applyBorder="1" applyAlignment="1">
      <alignment horizontal="center"/>
    </xf>
    <xf numFmtId="0" fontId="1" fillId="0" borderId="0" xfId="0" applyFont="1" applyFill="1" applyAlignment="1">
      <alignment horizontal="center"/>
    </xf>
    <xf numFmtId="0" fontId="7" fillId="0" borderId="9" xfId="0" applyFont="1" applyFill="1" applyBorder="1" applyAlignment="1">
      <alignment horizontal="center"/>
    </xf>
    <xf numFmtId="0" fontId="7" fillId="0" borderId="10" xfId="0" applyFont="1" applyFill="1" applyBorder="1" applyAlignment="1">
      <alignment horizontal="center"/>
    </xf>
    <xf numFmtId="0" fontId="7" fillId="0" borderId="11" xfId="0" applyFont="1" applyFill="1" applyBorder="1" applyAlignment="1">
      <alignment horizontal="center"/>
    </xf>
    <xf numFmtId="0" fontId="0" fillId="0" borderId="0" xfId="0" applyFill="1"/>
    <xf numFmtId="0" fontId="0" fillId="0" borderId="23" xfId="0" applyFill="1" applyBorder="1"/>
    <xf numFmtId="0" fontId="0" fillId="0" borderId="23" xfId="0" applyFill="1" applyBorder="1" applyAlignment="1">
      <alignment horizontal="center" vertical="center"/>
    </xf>
    <xf numFmtId="167" fontId="0" fillId="0" borderId="9" xfId="1" applyNumberFormat="1" applyFont="1" applyFill="1" applyBorder="1"/>
    <xf numFmtId="167" fontId="0" fillId="0" borderId="10" xfId="1" applyNumberFormat="1" applyFont="1" applyFill="1" applyBorder="1"/>
    <xf numFmtId="167" fontId="0" fillId="0" borderId="11" xfId="1" applyNumberFormat="1" applyFont="1" applyFill="1" applyBorder="1"/>
    <xf numFmtId="0" fontId="7" fillId="12" borderId="0" xfId="0" applyFont="1" applyFill="1" applyBorder="1" applyAlignment="1">
      <alignment horizontal="center"/>
    </xf>
  </cellXfs>
  <cellStyles count="2">
    <cellStyle name="Comma" xfId="1" builtinId="3"/>
    <cellStyle name="Normal" xfId="0" builtinId="0"/>
  </cellStyles>
  <dxfs count="43">
    <dxf>
      <font>
        <b val="0"/>
        <i/>
        <color rgb="FF9C0006"/>
      </font>
      <fill>
        <patternFill>
          <bgColor rgb="FFFFC7CE"/>
        </patternFill>
      </fill>
    </dxf>
    <dxf>
      <font>
        <b/>
        <i val="0"/>
        <color rgb="FF006100"/>
      </font>
      <fill>
        <patternFill>
          <bgColor rgb="FFC6EFCE"/>
        </patternFill>
      </fill>
    </dxf>
    <dxf>
      <font>
        <b/>
        <i val="0"/>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1"/>
        <color theme="1"/>
        <name val="Calibri"/>
        <family val="2"/>
        <scheme val="minor"/>
      </font>
      <numFmt numFmtId="167" formatCode="_(* #,##0_);_(* \(#,##0\);_(* &quot;-&quot;??_);_(@_)"/>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167" formatCode="_(* #,##0_);_(* \(#,##0\);_(* &quot;-&quot;??_);_(@_)"/>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dxf>
    <dxf>
      <border outline="0">
        <top style="thin">
          <color indexed="64"/>
        </top>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border outline="0">
        <bottom style="thin">
          <color indexed="64"/>
        </bottom>
      </border>
    </dxf>
    <dxf>
      <font>
        <b/>
        <i val="0"/>
        <strike val="0"/>
        <condense val="0"/>
        <extend val="0"/>
        <outline val="0"/>
        <shadow val="0"/>
        <u val="none"/>
        <vertAlign val="baseline"/>
        <sz val="12"/>
        <color theme="0"/>
        <name val="Calibri"/>
        <family val="2"/>
        <scheme val="minor"/>
      </font>
      <numFmt numFmtId="167" formatCode="_(* #,##0_);_(* \(#,##0\);_(* &quot;-&quot;??_);_(@_)"/>
      <fill>
        <patternFill patternType="solid">
          <fgColor indexed="64"/>
          <bgColor theme="5"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7" formatCode="_(* #,##0_);_(* \(#,##0\);_(* &quot;-&quot;??_);_(@_)"/>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167" formatCode="_(* #,##0_);_(* \(#,##0\);_(* &quot;-&quot;??_);_(@_)"/>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167" formatCode="_(* #,##0_);_(* \(#,##0\);_(* &quot;-&quot;??_);_(@_)"/>
      <fill>
        <patternFill patternType="none">
          <fgColor indexed="64"/>
          <bgColor indexed="65"/>
        </patternFill>
      </fill>
      <alignment horizontal="left"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8" formatCode="dd/mm/yyyy;@"/>
      <fill>
        <patternFill patternType="none">
          <fgColor indexed="64"/>
          <bgColor indexed="65"/>
        </patternFill>
      </fill>
      <alignment horizontal="center" textRotation="0" indent="0" justifyLastLine="0" shrinkToFit="0" readingOrder="0"/>
    </dxf>
    <dxf>
      <border outline="0">
        <top style="thin">
          <color indexed="64"/>
        </top>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border outline="0">
        <bottom style="thin">
          <color indexed="64"/>
        </bottom>
      </border>
    </dxf>
    <dxf>
      <font>
        <b/>
        <i val="0"/>
        <strike val="0"/>
        <condense val="0"/>
        <extend val="0"/>
        <outline val="0"/>
        <shadow val="0"/>
        <u val="none"/>
        <vertAlign val="baseline"/>
        <sz val="12"/>
        <color theme="0"/>
        <name val="Calibri"/>
        <family val="2"/>
        <scheme val="minor"/>
      </font>
      <numFmt numFmtId="167" formatCode="_(* #,##0_);_(* \(#,##0\);_(* &quot;-&quot;??_);_(@_)"/>
      <fill>
        <patternFill patternType="solid">
          <fgColor indexed="64"/>
          <bgColor rgb="FF0070C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7" formatCode="_(* #,##0_);_(* \(#,##0\);_(* &quot;-&quot;??_);_(@_)"/>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67" formatCode="_(* #,##0_);_(* \(#,##0\);_(* &quot;-&quot;??_);_(@_)"/>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67" formatCode="_(* #,##0_);_(* \(#,##0\);_(* &quot;-&quot;??_);_(@_)"/>
      <border diagonalUp="0" diagonalDown="0">
        <left style="thin">
          <color indexed="64"/>
        </left>
        <right style="thin">
          <color indexed="64"/>
        </right>
        <top style="thin">
          <color indexed="64"/>
        </top>
        <bottom style="thin">
          <color indexed="64"/>
        </bottom>
      </border>
    </dxf>
    <dxf>
      <numFmt numFmtId="167" formatCode="_(* #,##0_);_(* \(#,##0\);_(* &quot;-&quot;??_);_(@_)"/>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numFmt numFmtId="167" formatCode="_(* #,##0_);_(* \(#,##0\);_(* &quot;-&quot;??_);_(@_)"/>
      <fill>
        <patternFill patternType="solid">
          <fgColor indexed="64"/>
          <bgColor rgb="FF00B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7" formatCode="_(* #,##0_);_(* \(#,##0\);_(* &quot;-&quot;??_);_(@_)"/>
      <alignment horizontal="right"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6"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419100</xdr:colOff>
          <xdr:row>6</xdr:row>
          <xdr:rowOff>19050</xdr:rowOff>
        </xdr:from>
        <xdr:to>
          <xdr:col>3</xdr:col>
          <xdr:colOff>1266825</xdr:colOff>
          <xdr:row>7</xdr:row>
          <xdr:rowOff>180975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D" sz="1400" b="1" i="0" u="none" strike="noStrike" baseline="0">
                  <a:solidFill>
                    <a:srgbClr val="000000"/>
                  </a:solidFill>
                  <a:latin typeface="Courier New"/>
                  <a:cs typeface="Courier New"/>
                </a:rPr>
                <a:t>Input</a:t>
              </a:r>
            </a:p>
          </xdr:txBody>
        </xdr:sp>
        <xdr:clientData fPrintsWithSheet="0"/>
      </xdr:twoCellAnchor>
    </mc:Choice>
    <mc:Fallback/>
  </mc:AlternateContent>
  <xdr:twoCellAnchor editAs="absolute">
    <xdr:from>
      <xdr:col>6</xdr:col>
      <xdr:colOff>142875</xdr:colOff>
      <xdr:row>6</xdr:row>
      <xdr:rowOff>0</xdr:rowOff>
    </xdr:from>
    <xdr:to>
      <xdr:col>8</xdr:col>
      <xdr:colOff>352425</xdr:colOff>
      <xdr:row>12</xdr:row>
      <xdr:rowOff>142875</xdr:rowOff>
    </xdr:to>
    <mc:AlternateContent xmlns:mc="http://schemas.openxmlformats.org/markup-compatibility/2006" xmlns:sle15="http://schemas.microsoft.com/office/drawing/2012/slicer">
      <mc:Choice Requires="sle15">
        <xdr:graphicFrame macro="">
          <xdr:nvGraphicFramePr>
            <xdr:cNvPr id="2" name="TANGGAL">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TANGGAL"/>
            </a:graphicData>
          </a:graphic>
        </xdr:graphicFrame>
      </mc:Choice>
      <mc:Fallback xmlns="">
        <xdr:sp macro="" textlink="">
          <xdr:nvSpPr>
            <xdr:cNvPr id="0" name=""/>
            <xdr:cNvSpPr>
              <a:spLocks noTextEdit="1"/>
            </xdr:cNvSpPr>
          </xdr:nvSpPr>
          <xdr:spPr>
            <a:xfrm>
              <a:off x="6057900" y="1133475"/>
              <a:ext cx="1838325" cy="1295400"/>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152400</xdr:colOff>
      <xdr:row>23</xdr:row>
      <xdr:rowOff>142876</xdr:rowOff>
    </xdr:from>
    <xdr:to>
      <xdr:col>8</xdr:col>
      <xdr:colOff>352425</xdr:colOff>
      <xdr:row>33</xdr:row>
      <xdr:rowOff>104776</xdr:rowOff>
    </xdr:to>
    <mc:AlternateContent xmlns:mc="http://schemas.openxmlformats.org/markup-compatibility/2006" xmlns:sle15="http://schemas.microsoft.com/office/drawing/2012/slicer">
      <mc:Choice Requires="sle15">
        <xdr:graphicFrame macro="">
          <xdr:nvGraphicFramePr>
            <xdr:cNvPr id="3" name="NAMA PEMBELI">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NAMA PEMBELI"/>
            </a:graphicData>
          </a:graphic>
        </xdr:graphicFrame>
      </mc:Choice>
      <mc:Fallback xmlns="">
        <xdr:sp macro="" textlink="">
          <xdr:nvSpPr>
            <xdr:cNvPr id="0" name=""/>
            <xdr:cNvSpPr>
              <a:spLocks noTextEdit="1"/>
            </xdr:cNvSpPr>
          </xdr:nvSpPr>
          <xdr:spPr>
            <a:xfrm>
              <a:off x="6067425" y="4524376"/>
              <a:ext cx="1828800" cy="1866900"/>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3</xdr:col>
      <xdr:colOff>1352549</xdr:colOff>
      <xdr:row>4</xdr:row>
      <xdr:rowOff>76200</xdr:rowOff>
    </xdr:from>
    <xdr:to>
      <xdr:col>6</xdr:col>
      <xdr:colOff>47624</xdr:colOff>
      <xdr:row>5</xdr:row>
      <xdr:rowOff>123825</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4010024" y="828675"/>
          <a:ext cx="1952625" cy="238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d-ID" sz="1050" i="1">
              <a:solidFill>
                <a:srgbClr val="FF0000"/>
              </a:solidFill>
            </a:rPr>
            <a:t>*)cell</a:t>
          </a:r>
          <a:r>
            <a:rPr lang="id-ID" sz="1050" i="1" baseline="0">
              <a:solidFill>
                <a:srgbClr val="FF0000"/>
              </a:solidFill>
            </a:rPr>
            <a:t> Subtotal jangan dihapus</a:t>
          </a:r>
          <a:endParaRPr lang="en-ID" sz="1050" i="1">
            <a:solidFill>
              <a:srgbClr val="FF0000"/>
            </a:solidFill>
          </a:endParaRPr>
        </a:p>
      </xdr:txBody>
    </xdr:sp>
    <xdr:clientData/>
  </xdr:twoCellAnchor>
  <xdr:twoCellAnchor editAs="absolute">
    <xdr:from>
      <xdr:col>6</xdr:col>
      <xdr:colOff>152400</xdr:colOff>
      <xdr:row>13</xdr:row>
      <xdr:rowOff>19051</xdr:rowOff>
    </xdr:from>
    <xdr:to>
      <xdr:col>8</xdr:col>
      <xdr:colOff>352425</xdr:colOff>
      <xdr:row>23</xdr:row>
      <xdr:rowOff>57151</xdr:rowOff>
    </xdr:to>
    <mc:AlternateContent xmlns:mc="http://schemas.openxmlformats.org/markup-compatibility/2006" xmlns:sle15="http://schemas.microsoft.com/office/drawing/2012/slicer">
      <mc:Choice Requires="sle15">
        <xdr:graphicFrame macro="">
          <xdr:nvGraphicFramePr>
            <xdr:cNvPr id="5" name="PRODUK">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PRODUK"/>
            </a:graphicData>
          </a:graphic>
        </xdr:graphicFrame>
      </mc:Choice>
      <mc:Fallback xmlns="">
        <xdr:sp macro="" textlink="">
          <xdr:nvSpPr>
            <xdr:cNvPr id="0" name=""/>
            <xdr:cNvSpPr>
              <a:spLocks noTextEdit="1"/>
            </xdr:cNvSpPr>
          </xdr:nvSpPr>
          <xdr:spPr>
            <a:xfrm>
              <a:off x="6067425" y="2495551"/>
              <a:ext cx="1828800" cy="1943100"/>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123825</xdr:colOff>
          <xdr:row>2</xdr:row>
          <xdr:rowOff>38100</xdr:rowOff>
        </xdr:from>
        <xdr:to>
          <xdr:col>9</xdr:col>
          <xdr:colOff>733425</xdr:colOff>
          <xdr:row>3</xdr:row>
          <xdr:rowOff>152400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D" sz="1100" b="1" i="0" u="none" strike="noStrike" baseline="0">
                  <a:solidFill>
                    <a:srgbClr val="0000FF"/>
                  </a:solidFill>
                  <a:latin typeface="Calibri"/>
                  <a:ea typeface="Calibri"/>
                  <a:cs typeface="Calibri"/>
                </a:rPr>
                <a:t>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2</xdr:row>
          <xdr:rowOff>38100</xdr:rowOff>
        </xdr:from>
        <xdr:to>
          <xdr:col>13</xdr:col>
          <xdr:colOff>733425</xdr:colOff>
          <xdr:row>3</xdr:row>
          <xdr:rowOff>152400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D" sz="1100" b="1" i="0" u="none" strike="noStrike" baseline="0">
                  <a:solidFill>
                    <a:srgbClr val="FF0000"/>
                  </a:solidFill>
                  <a:latin typeface="Calibri"/>
                  <a:ea typeface="Calibri"/>
                  <a:cs typeface="Calibri"/>
                </a:rPr>
                <a:t>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142875</xdr:colOff>
          <xdr:row>2</xdr:row>
          <xdr:rowOff>38100</xdr:rowOff>
        </xdr:from>
        <xdr:to>
          <xdr:col>5</xdr:col>
          <xdr:colOff>495300</xdr:colOff>
          <xdr:row>3</xdr:row>
          <xdr:rowOff>161925</xdr:rowOff>
        </xdr:to>
        <xdr:sp macro="" textlink="">
          <xdr:nvSpPr>
            <xdr:cNvPr id="4112" name="Button 16" hidden="1">
              <a:extLst>
                <a:ext uri="{63B3BB69-23CF-44E3-9099-C40C66FF867C}">
                  <a14:compatExt spid="_x0000_s4112"/>
                </a:ext>
                <a:ext uri="{FF2B5EF4-FFF2-40B4-BE49-F238E27FC236}">
                  <a16:creationId xmlns:a16="http://schemas.microsoft.com/office/drawing/2014/main" id="{00000000-0008-0000-0200-00001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D" sz="1100" b="1" i="0" u="none" strike="noStrike" baseline="0">
                  <a:solidFill>
                    <a:srgbClr val="339966"/>
                  </a:solidFill>
                  <a:latin typeface="Calibri"/>
                  <a:ea typeface="Calibri"/>
                  <a:cs typeface="Calibri"/>
                </a:rPr>
                <a:t>Closing</a:t>
              </a:r>
            </a:p>
          </xdr:txBody>
        </xdr:sp>
        <xdr:clientData fPrintsWithSheet="0"/>
      </xdr:twoCellAnchor>
    </mc:Choice>
    <mc:Fallback/>
  </mc:AlternateContent>
  <xdr:twoCellAnchor>
    <xdr:from>
      <xdr:col>14</xdr:col>
      <xdr:colOff>123825</xdr:colOff>
      <xdr:row>1</xdr:row>
      <xdr:rowOff>47624</xdr:rowOff>
    </xdr:from>
    <xdr:to>
      <xdr:col>20</xdr:col>
      <xdr:colOff>266700</xdr:colOff>
      <xdr:row>4</xdr:row>
      <xdr:rowOff>47625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0410825" y="304799"/>
          <a:ext cx="2228850" cy="5143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d-ID" sz="1200" i="1">
              <a:solidFill>
                <a:srgbClr val="FF0000"/>
              </a:solidFill>
            </a:rPr>
            <a:t>*)kalo</a:t>
          </a:r>
          <a:r>
            <a:rPr lang="id-ID" sz="1200" i="1" baseline="0">
              <a:solidFill>
                <a:srgbClr val="FF0000"/>
              </a:solidFill>
            </a:rPr>
            <a:t> selisih, isi di in/out dan kasih keterangan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1</xdr:row>
          <xdr:rowOff>38100</xdr:rowOff>
        </xdr:from>
        <xdr:to>
          <xdr:col>3</xdr:col>
          <xdr:colOff>295275</xdr:colOff>
          <xdr:row>2</xdr:row>
          <xdr:rowOff>152400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D" sz="1100" b="1" i="0" u="none" strike="noStrike" baseline="0">
                  <a:solidFill>
                    <a:srgbClr val="0000FF"/>
                  </a:solidFill>
                  <a:latin typeface="Calibri"/>
                  <a:ea typeface="Calibri"/>
                  <a:cs typeface="Calibri"/>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4</xdr:row>
          <xdr:rowOff>66675</xdr:rowOff>
        </xdr:from>
        <xdr:to>
          <xdr:col>3</xdr:col>
          <xdr:colOff>314325</xdr:colOff>
          <xdr:row>5</xdr:row>
          <xdr:rowOff>171450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D" sz="1100" b="1" i="0" u="none" strike="noStrike" baseline="0">
                  <a:solidFill>
                    <a:srgbClr val="FF6600"/>
                  </a:solidFill>
                  <a:latin typeface="Calibri"/>
                  <a:ea typeface="Calibri"/>
                  <a:cs typeface="Calibri"/>
                </a:rPr>
                <a:t>Input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152400</xdr:colOff>
      <xdr:row>2</xdr:row>
      <xdr:rowOff>123825</xdr:rowOff>
    </xdr:from>
    <xdr:to>
      <xdr:col>9</xdr:col>
      <xdr:colOff>657225</xdr:colOff>
      <xdr:row>7</xdr:row>
      <xdr:rowOff>114300</xdr:rowOff>
    </xdr:to>
    <xdr:sp macro="" textlink="">
      <xdr:nvSpPr>
        <xdr:cNvPr id="2" name="Arrow: Right 1">
          <a:extLst>
            <a:ext uri="{FF2B5EF4-FFF2-40B4-BE49-F238E27FC236}">
              <a16:creationId xmlns:a16="http://schemas.microsoft.com/office/drawing/2014/main" id="{00000000-0008-0000-0600-000002000000}"/>
            </a:ext>
          </a:extLst>
        </xdr:cNvPr>
        <xdr:cNvSpPr/>
      </xdr:nvSpPr>
      <xdr:spPr>
        <a:xfrm>
          <a:off x="4619625" y="504825"/>
          <a:ext cx="504825" cy="30003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nota%20ayik%20ponadi%20doll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A_STRUK"/>
      <sheetName val="stock opname"/>
      <sheetName val="MASTER DATA"/>
      <sheetName val="HARGA_PELANGGAN"/>
    </sheetNames>
    <sheetDataSet>
      <sheetData sheetId="0"/>
      <sheetData sheetId="1"/>
      <sheetData sheetId="2"/>
      <sheetData sheetId="3"/>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NGGAL" xr10:uid="{727C7E7D-C932-466F-AD2D-169EEC5E5B45}" sourceName="TANGGAL">
  <extLst>
    <x:ext xmlns:x15="http://schemas.microsoft.com/office/spreadsheetml/2010/11/main" uri="{2F2917AC-EB37-4324-AD4E-5DD8C200BD13}">
      <x15:tableSlicerCache tableId="4"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A_PEMBELI" xr10:uid="{D5A0BA05-B8AD-4788-AAE1-5BAACDFD28E4}" sourceName="NAMA PEMBELI">
  <extLst>
    <x:ext xmlns:x15="http://schemas.microsoft.com/office/spreadsheetml/2010/11/main" uri="{2F2917AC-EB37-4324-AD4E-5DD8C200BD13}">
      <x15:tableSlicerCache tableId="4" column="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K" xr10:uid="{512497D9-0FEC-4A5A-A277-80284937121D}" sourceName="PRODUK">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ANGGAL" xr10:uid="{74833BCA-BA10-4313-9DA1-C59C6209358B}" cache="Slicer_TANGGAL" caption="TANGGAL" rowHeight="241300"/>
  <slicer name="NAMA PEMBELI" xr10:uid="{A755DCD2-376F-4E75-8438-FA9F1E747B88}" cache="Slicer_NAMA_PEMBELI" caption="NAMA PEMBELI" startItem="5" rowHeight="241300"/>
  <slicer name="PRODUK" xr10:uid="{0E5A4EAC-8B56-4013-9138-4D16598A8C7D}" cache="Slicer_PRODUK" caption="PRODU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F5B09D3-C7CB-4ADD-A450-3E1EB6E8FC5C}" name="Table15" displayName="Table15" ref="B10:F103" totalsRowShown="0" headerRowDxfId="42" dataDxfId="41">
  <autoFilter ref="B10:F103" xr:uid="{BF5B09D3-C7CB-4ADD-A450-3E1EB6E8FC5C}">
    <filterColumn colId="0" hiddenButton="1"/>
    <filterColumn colId="1" hiddenButton="1"/>
    <filterColumn colId="2" hiddenButton="1"/>
    <filterColumn colId="3" hiddenButton="1"/>
    <filterColumn colId="4" hiddenButton="1"/>
  </autoFilter>
  <sortState xmlns:xlrd2="http://schemas.microsoft.com/office/spreadsheetml/2017/richdata2" ref="B11:F103">
    <sortCondition descending="1" ref="B10:B103"/>
  </sortState>
  <tableColumns count="5">
    <tableColumn id="1" xr3:uid="{0EDE24D3-30D8-4005-B51E-84F36FC67B88}" name="TANGGAL" dataDxfId="40"/>
    <tableColumn id="2" xr3:uid="{13D33FE0-2728-4F45-BEBF-18842F1D5DB6}" name="NAMA PEMBELI" dataDxfId="39"/>
    <tableColumn id="3" xr3:uid="{DAB3004A-E619-40CD-BEE7-592C00B1399F}" name="PRODUK" dataDxfId="38"/>
    <tableColumn id="4" xr3:uid="{85AAB6F9-AA68-4797-B468-527C5969C5BB}" name="Qty" dataDxfId="37"/>
    <tableColumn id="5" xr3:uid="{8B60AE23-C744-440D-8EDB-7F317F59529A}" name="Subtotal" dataDxfId="36" dataCellStyle="Comma">
      <calculatedColumnFormula>IF(INDEX('Master Data'!$C:$AR,MATCH(Table15[[#This Row],[PRODUK]],'Master Data'!$B:$B,0),MATCH(Table15[[#This Row],[NAMA PEMBELI]],'Master Data'!$C$2:$AR$2,0))*Table15[[#This Row],[Qty]]*10^3=0,"Belum ada harga",INDEX('Master Data'!$C:$AR,MATCH(Table15[[#This Row],[PRODUK]],'Master Data'!$B:$B,0),MATCH(Table15[[#This Row],[NAMA PEMBELI]],'Master Data'!$C$2:$AR$2,0))*Table15[[#This Row],[Qty]]*10^3)</calculatedColumnFormula>
    </tableColumn>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77BC7A-A1A5-4DA6-A95A-C369B1066C8F}" name="LaporanStok" displayName="LaporanStok" ref="B6:F119" totalsRowShown="0" headerRowDxfId="35" headerRowBorderDxfId="34" tableBorderDxfId="33" totalsRowBorderDxfId="32" headerRowCellStyle="Comma">
  <sortState xmlns:xlrd2="http://schemas.microsoft.com/office/spreadsheetml/2017/richdata2" ref="B7:F119">
    <sortCondition ref="B6:B119"/>
  </sortState>
  <tableColumns count="5">
    <tableColumn id="1" xr3:uid="{12AFC112-00EC-4010-A8DF-0FEE34F7842B}" name="Produk" dataDxfId="31"/>
    <tableColumn id="2" xr3:uid="{3E774A29-41B3-4910-9AF2-FBE0C8B38F6F}" name="Awal" dataDxfId="30" dataCellStyle="Comma"/>
    <tableColumn id="3" xr3:uid="{FBEA734F-B167-43CF-90BA-C076CCE95575}" name="In" dataDxfId="29" dataCellStyle="Comma">
      <calculatedColumnFormula>SUMIFS(BarangMasuk[Qty],BarangMasuk[Produk],LaporanStok[[#This Row],[Produk]])</calculatedColumnFormula>
    </tableColumn>
    <tableColumn id="4" xr3:uid="{1C187A6F-093B-4F04-ADB7-189D48377702}" name="Out" dataDxfId="28" dataCellStyle="Comma">
      <calculatedColumnFormula>SUMIFS(BarangKeluar[Qty],BarangKeluar[Produk],LaporanStok[[#This Row],[Produk]])</calculatedColumnFormula>
    </tableColumn>
    <tableColumn id="5" xr3:uid="{51D0BDE5-03D0-433D-895D-5FA396F38D80}" name="Akhir" dataDxfId="27" dataCellStyle="Comma">
      <calculatedColumnFormula>LaporanStok[[#This Row],[Awal]]+LaporanStok[[#This Row],[In]]-LaporanStok[[#This Row],[Out]]</calculatedColumnFormula>
    </tableColumn>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802CADE-63C8-4F95-9A60-C9982DF6B31A}" name="BarangMasuk" displayName="BarangMasuk" ref="H6:K7" insertRow="1" totalsRowShown="0" headerRowDxfId="26" dataDxfId="24" headerRowBorderDxfId="25" tableBorderDxfId="23" headerRowCellStyle="Comma" dataCellStyle="Comma">
  <tableColumns count="4">
    <tableColumn id="1" xr3:uid="{7E3F7437-2835-41AB-A8E0-E1A30E78F0E4}" name="Tanggal" dataDxfId="22" dataCellStyle="Comma"/>
    <tableColumn id="2" xr3:uid="{356BE99F-DC42-403C-B6CB-A9A526618868}" name="Produk" dataDxfId="21" dataCellStyle="Comma"/>
    <tableColumn id="3" xr3:uid="{91EA3C99-3BD6-4F3C-828D-9F2122EA4A8C}" name="Qty" dataDxfId="20" dataCellStyle="Comma"/>
    <tableColumn id="4" xr3:uid="{4AF6D5FB-D8E3-4D87-AA2F-E4011FC569EF}" name="Ket" dataDxfId="19" dataCellStyle="Comma"/>
  </tableColumns>
  <tableStyleInfo name="TableStyleLight2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28B2D1A-9477-4A9F-BB08-0006E1630F33}" name="BarangKeluar" displayName="BarangKeluar" ref="M6:O7" totalsRowShown="0" headerRowDxfId="18" dataDxfId="16" headerRowBorderDxfId="17" tableBorderDxfId="15" headerRowCellStyle="Comma" dataCellStyle="Comma">
  <tableColumns count="3">
    <tableColumn id="2" xr3:uid="{76576C9B-EE80-4007-A364-E326DF627EFB}" name="Produk" dataDxfId="14" dataCellStyle="Comma"/>
    <tableColumn id="3" xr3:uid="{4877F748-1612-42FF-9406-84CF46A74B39}" name="Qty" dataDxfId="13" dataCellStyle="Comma"/>
    <tableColumn id="4" xr3:uid="{7E1D6CDC-3D8D-46B1-8555-6991BEF009CF}" name="Ket" dataDxfId="12" dataCellStyle="Comma"/>
  </tableColumns>
  <tableStyleInfo name="TableStyleLight1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EFE53-D467-438C-A416-891245A5DB33}">
  <sheetPr codeName="Sheet7"/>
  <dimension ref="A2:F137"/>
  <sheetViews>
    <sheetView showGridLines="0" workbookViewId="0">
      <selection activeCell="J14" sqref="J14"/>
    </sheetView>
  </sheetViews>
  <sheetFormatPr defaultRowHeight="15" x14ac:dyDescent="0.25"/>
  <cols>
    <col min="1" max="1" width="10.5703125" customWidth="1"/>
    <col min="2" max="2" width="19.7109375" customWidth="1"/>
    <col min="3" max="3" width="6.140625" style="2" customWidth="1"/>
    <col min="4" max="5" width="16.7109375" customWidth="1"/>
    <col min="6" max="6" width="16.7109375" style="135" customWidth="1"/>
  </cols>
  <sheetData>
    <row r="2" spans="1:6" x14ac:dyDescent="0.25">
      <c r="A2" s="1" t="s">
        <v>1</v>
      </c>
      <c r="B2" s="133">
        <v>46240</v>
      </c>
      <c r="D2" s="1" t="s">
        <v>252</v>
      </c>
      <c r="E2" s="134">
        <f>SUM(F:F)</f>
        <v>3562000</v>
      </c>
    </row>
    <row r="3" spans="1:6" ht="8.25" customHeight="1" x14ac:dyDescent="0.25"/>
    <row r="4" spans="1:6" ht="15.75" x14ac:dyDescent="0.25">
      <c r="B4" s="136" t="s">
        <v>248</v>
      </c>
      <c r="C4" s="136" t="s">
        <v>8</v>
      </c>
      <c r="D4" s="136" t="s">
        <v>249</v>
      </c>
      <c r="E4" s="136" t="s">
        <v>250</v>
      </c>
      <c r="F4" s="137" t="s">
        <v>251</v>
      </c>
    </row>
    <row r="5" spans="1:6" x14ac:dyDescent="0.25">
      <c r="B5" s="12" t="str" cm="1">
        <f t="array" ref="B5:B41">_xlfn._xlws.SORT(_xlfn.UNIQUE(Table15[PRODUK]))</f>
        <v>54RYA KARDUS</v>
      </c>
      <c r="C5" s="138">
        <f>SUMIFS(Table15[Qty],Table15[PRODUK],'Laba-Rugi'!B5)</f>
        <v>31</v>
      </c>
      <c r="D5" s="145">
        <f>_xlfn.XLOOKUP(B5,'Data Produk'!A:A,'Data Produk'!B:B)*C5*10^3</f>
        <v>1798000</v>
      </c>
      <c r="E5" s="139">
        <f>SUMIFS(Table15[Subtotal],Table15[PRODUK],'Laba-Rugi'!B5)</f>
        <v>1933000</v>
      </c>
      <c r="F5" s="140">
        <f>E5-D5</f>
        <v>135000</v>
      </c>
    </row>
    <row r="6" spans="1:6" x14ac:dyDescent="0.25">
      <c r="B6" s="12" t="str">
        <v>ANG BOLONG</v>
      </c>
      <c r="C6" s="138">
        <f>SUMIFS(Table15[Qty],Table15[PRODUK],'Laba-Rugi'!B6)</f>
        <v>3</v>
      </c>
      <c r="D6" s="146">
        <f>_xlfn.XLOOKUP(B6,'Data Produk'!A:A,'Data Produk'!B:B)*C6*10^3</f>
        <v>195000</v>
      </c>
      <c r="E6" s="141">
        <f>SUMIFS(Table15[Subtotal],Table15[PRODUK],'Laba-Rugi'!B6)</f>
        <v>225000</v>
      </c>
      <c r="F6" s="142">
        <f t="shared" ref="F6:F41" si="0">E6-D6</f>
        <v>30000</v>
      </c>
    </row>
    <row r="7" spans="1:6" x14ac:dyDescent="0.25">
      <c r="B7" s="12" t="str">
        <v>ANG MELON</v>
      </c>
      <c r="C7" s="138">
        <f>SUMIFS(Table15[Qty],Table15[PRODUK],'Laba-Rugi'!B7)</f>
        <v>10</v>
      </c>
      <c r="D7" s="146">
        <f>_xlfn.XLOOKUP(B7,'Data Produk'!A:A,'Data Produk'!B:B)*C7*10^3</f>
        <v>740000</v>
      </c>
      <c r="E7" s="141">
        <f>SUMIFS(Table15[Subtotal],Table15[PRODUK],'Laba-Rugi'!B7)</f>
        <v>810000</v>
      </c>
      <c r="F7" s="142">
        <f t="shared" si="0"/>
        <v>70000</v>
      </c>
    </row>
    <row r="8" spans="1:6" x14ac:dyDescent="0.25">
      <c r="B8" s="12" t="str">
        <v>ESTE BLUEBERRY</v>
      </c>
      <c r="C8" s="138">
        <f>SUMIFS(Table15[Qty],Table15[PRODUK],'Laba-Rugi'!B8)</f>
        <v>20</v>
      </c>
      <c r="D8" s="146">
        <f>_xlfn.XLOOKUP(B8,'Data Produk'!A:A,'Data Produk'!B:B)*C8*10^3</f>
        <v>1800000</v>
      </c>
      <c r="E8" s="141">
        <f>SUMIFS(Table15[Subtotal],Table15[PRODUK],'Laba-Rugi'!B8)</f>
        <v>1910000</v>
      </c>
      <c r="F8" s="142">
        <f t="shared" si="0"/>
        <v>110000</v>
      </c>
    </row>
    <row r="9" spans="1:6" x14ac:dyDescent="0.25">
      <c r="B9" s="12" t="str">
        <v>ESTE MANGGA</v>
      </c>
      <c r="C9" s="138">
        <f>SUMIFS(Table15[Qty],Table15[PRODUK],'Laba-Rugi'!B9)</f>
        <v>6</v>
      </c>
      <c r="D9" s="146">
        <f>_xlfn.XLOOKUP(B9,'Data Produk'!A:A,'Data Produk'!B:B)*C9*10^3</f>
        <v>540000</v>
      </c>
      <c r="E9" s="141">
        <f>SUMIFS(Table15[Subtotal],Table15[PRODUK],'Laba-Rugi'!B9)</f>
        <v>574000</v>
      </c>
      <c r="F9" s="142">
        <f t="shared" si="0"/>
        <v>34000</v>
      </c>
    </row>
    <row r="10" spans="1:6" x14ac:dyDescent="0.25">
      <c r="B10" s="12" t="str">
        <v>ESTE MELON</v>
      </c>
      <c r="C10" s="138">
        <f>SUMIFS(Table15[Qty],Table15[PRODUK],'Laba-Rugi'!B10)</f>
        <v>15</v>
      </c>
      <c r="D10" s="146">
        <f>_xlfn.XLOOKUP(B10,'Data Produk'!A:A,'Data Produk'!B:B)*C10*10^3</f>
        <v>1350000</v>
      </c>
      <c r="E10" s="141">
        <f>SUMIFS(Table15[Subtotal],Table15[PRODUK],'Laba-Rugi'!B10)</f>
        <v>1425000</v>
      </c>
      <c r="F10" s="142">
        <f t="shared" si="0"/>
        <v>75000</v>
      </c>
    </row>
    <row r="11" spans="1:6" x14ac:dyDescent="0.25">
      <c r="B11" s="12" t="str">
        <v>ESTE MILD</v>
      </c>
      <c r="C11" s="138">
        <f>SUMIFS(Table15[Qty],Table15[PRODUK],'Laba-Rugi'!B11)</f>
        <v>22</v>
      </c>
      <c r="D11" s="146">
        <f>_xlfn.XLOOKUP(B11,'Data Produk'!A:A,'Data Produk'!B:B)*C11*10^3</f>
        <v>1650000</v>
      </c>
      <c r="E11" s="141">
        <f>SUMIFS(Table15[Subtotal],Table15[PRODUK],'Laba-Rugi'!B11)</f>
        <v>1766000</v>
      </c>
      <c r="F11" s="142">
        <f t="shared" si="0"/>
        <v>116000</v>
      </c>
    </row>
    <row r="12" spans="1:6" x14ac:dyDescent="0.25">
      <c r="B12" s="12" t="str">
        <v>G MILD</v>
      </c>
      <c r="C12" s="138">
        <f>SUMIFS(Table15[Qty],Table15[PRODUK],'Laba-Rugi'!B12)</f>
        <v>39</v>
      </c>
      <c r="D12" s="146">
        <f>_xlfn.XLOOKUP(B12,'Data Produk'!A:A,'Data Produk'!B:B)*C12*10^3</f>
        <v>2418000</v>
      </c>
      <c r="E12" s="141">
        <f>SUMIFS(Table15[Subtotal],Table15[PRODUK],'Laba-Rugi'!B12)</f>
        <v>2730000</v>
      </c>
      <c r="F12" s="142">
        <f t="shared" si="0"/>
        <v>312000</v>
      </c>
    </row>
    <row r="13" spans="1:6" x14ac:dyDescent="0.25">
      <c r="B13" s="12" t="str">
        <v>GUDANG BATIK</v>
      </c>
      <c r="C13" s="138">
        <f>SUMIFS(Table15[Qty],Table15[PRODUK],'Laba-Rugi'!B13)</f>
        <v>1</v>
      </c>
      <c r="D13" s="146">
        <f>_xlfn.XLOOKUP(B13,'Data Produk'!A:A,'Data Produk'!B:B)*C13*10^3</f>
        <v>60000</v>
      </c>
      <c r="E13" s="141">
        <f>SUMIFS(Table15[Subtotal],Table15[PRODUK],'Laba-Rugi'!B13)</f>
        <v>68000</v>
      </c>
      <c r="F13" s="142">
        <f t="shared" si="0"/>
        <v>8000</v>
      </c>
    </row>
    <row r="14" spans="1:6" x14ac:dyDescent="0.25">
      <c r="B14" s="12" t="str">
        <v>HM GRAPE</v>
      </c>
      <c r="C14" s="138">
        <f>SUMIFS(Table15[Qty],Table15[PRODUK],'Laba-Rugi'!B14)</f>
        <v>20</v>
      </c>
      <c r="D14" s="146">
        <f>_xlfn.XLOOKUP(B14,'Data Produk'!A:A,'Data Produk'!B:B)*C14*10^3</f>
        <v>1560000</v>
      </c>
      <c r="E14" s="141">
        <f>SUMIFS(Table15[Subtotal],Table15[PRODUK],'Laba-Rugi'!B14)</f>
        <v>1680000</v>
      </c>
      <c r="F14" s="142">
        <f t="shared" si="0"/>
        <v>120000</v>
      </c>
    </row>
    <row r="15" spans="1:6" x14ac:dyDescent="0.25">
      <c r="B15" s="12" t="str">
        <v>HM MP</v>
      </c>
      <c r="C15" s="138">
        <f>SUMIFS(Table15[Qty],Table15[PRODUK],'Laba-Rugi'!B15)</f>
        <v>63</v>
      </c>
      <c r="D15" s="146">
        <f>_xlfn.XLOOKUP(B15,'Data Produk'!A:A,'Data Produk'!B:B)*C15*10^3</f>
        <v>3654000</v>
      </c>
      <c r="E15" s="141">
        <f>SUMIFS(Table15[Subtotal],Table15[PRODUK],'Laba-Rugi'!B15)</f>
        <v>3969000</v>
      </c>
      <c r="F15" s="142">
        <f t="shared" si="0"/>
        <v>315000</v>
      </c>
    </row>
    <row r="16" spans="1:6" x14ac:dyDescent="0.25">
      <c r="B16" s="12" t="str">
        <v>HM NEW</v>
      </c>
      <c r="C16" s="138">
        <f>SUMIFS(Table15[Qty],Table15[PRODUK],'Laba-Rugi'!B16)</f>
        <v>80</v>
      </c>
      <c r="D16" s="146">
        <f>_xlfn.XLOOKUP(B16,'Data Produk'!A:A,'Data Produk'!B:B)*C16*10^3</f>
        <v>5440000</v>
      </c>
      <c r="E16" s="141">
        <f>SUMIFS(Table15[Subtotal],Table15[PRODUK],'Laba-Rugi'!B16)</f>
        <v>5830000</v>
      </c>
      <c r="F16" s="142">
        <f t="shared" si="0"/>
        <v>390000</v>
      </c>
    </row>
    <row r="17" spans="2:6" x14ac:dyDescent="0.25">
      <c r="B17" s="12" t="str">
        <v>HM PRO 20</v>
      </c>
      <c r="C17" s="138">
        <f>SUMIFS(Table15[Qty],Table15[PRODUK],'Laba-Rugi'!B17)</f>
        <v>4</v>
      </c>
      <c r="D17" s="146">
        <f>_xlfn.XLOOKUP(B17,'Data Produk'!A:A,'Data Produk'!B:B)*C17*10^3</f>
        <v>220000</v>
      </c>
      <c r="E17" s="141">
        <f>SUMIFS(Table15[Subtotal],Table15[PRODUK],'Laba-Rugi'!B17)</f>
        <v>248000</v>
      </c>
      <c r="F17" s="142">
        <f t="shared" si="0"/>
        <v>28000</v>
      </c>
    </row>
    <row r="18" spans="2:6" x14ac:dyDescent="0.25">
      <c r="B18" s="12" t="str">
        <v>HM SP</v>
      </c>
      <c r="C18" s="138">
        <f>SUMIFS(Table15[Qty],Table15[PRODUK],'Laba-Rugi'!B18)</f>
        <v>29</v>
      </c>
      <c r="D18" s="146">
        <f>_xlfn.XLOOKUP(B18,'Data Produk'!A:A,'Data Produk'!B:B)*C18*10^3</f>
        <v>1682000</v>
      </c>
      <c r="E18" s="141">
        <f>SUMIFS(Table15[Subtotal],Table15[PRODUK],'Laba-Rugi'!B18)</f>
        <v>1827000</v>
      </c>
      <c r="F18" s="142">
        <f t="shared" si="0"/>
        <v>145000</v>
      </c>
    </row>
    <row r="19" spans="2:6" x14ac:dyDescent="0.25">
      <c r="B19" s="12" t="str">
        <v>HM TEA</v>
      </c>
      <c r="C19" s="138">
        <f>SUMIFS(Table15[Qty],Table15[PRODUK],'Laba-Rugi'!B19)</f>
        <v>3</v>
      </c>
      <c r="D19" s="146">
        <f>_xlfn.XLOOKUP(B19,'Data Produk'!A:A,'Data Produk'!B:B)*C19*10^3</f>
        <v>195000</v>
      </c>
      <c r="E19" s="141">
        <f>SUMIFS(Table15[Subtotal],Table15[PRODUK],'Laba-Rugi'!B19)</f>
        <v>225000</v>
      </c>
      <c r="F19" s="142">
        <f t="shared" si="0"/>
        <v>30000</v>
      </c>
    </row>
    <row r="20" spans="2:6" x14ac:dyDescent="0.25">
      <c r="B20" s="12" t="str">
        <v>HMIN</v>
      </c>
      <c r="C20" s="138">
        <f>SUMIFS(Table15[Qty],Table15[PRODUK],'Laba-Rugi'!B20)</f>
        <v>1</v>
      </c>
      <c r="D20" s="146">
        <f>_xlfn.XLOOKUP(B20,'Data Produk'!A:A,'Data Produk'!B:B)*C20*10^3</f>
        <v>60000</v>
      </c>
      <c r="E20" s="141">
        <f>SUMIFS(Table15[Subtotal],Table15[PRODUK],'Laba-Rugi'!B20)</f>
        <v>70000</v>
      </c>
      <c r="F20" s="142">
        <f t="shared" si="0"/>
        <v>10000</v>
      </c>
    </row>
    <row r="21" spans="2:6" x14ac:dyDescent="0.25">
      <c r="B21" s="12" t="str">
        <v>LUXIO BLUEBERRY</v>
      </c>
      <c r="C21" s="138">
        <f>SUMIFS(Table15[Qty],Table15[PRODUK],'Laba-Rugi'!B21)</f>
        <v>62</v>
      </c>
      <c r="D21" s="146">
        <f>_xlfn.XLOOKUP(B21,'Data Produk'!A:A,'Data Produk'!B:B)*C21*10^3</f>
        <v>5456000</v>
      </c>
      <c r="E21" s="141">
        <f>SUMIFS(Table15[Subtotal],Table15[PRODUK],'Laba-Rugi'!B21)</f>
        <v>5889000</v>
      </c>
      <c r="F21" s="142">
        <f t="shared" si="0"/>
        <v>433000</v>
      </c>
    </row>
    <row r="22" spans="2:6" x14ac:dyDescent="0.25">
      <c r="B22" s="12" t="str">
        <v>LUXIO MANGGA</v>
      </c>
      <c r="C22" s="138">
        <f>SUMIFS(Table15[Qty],Table15[PRODUK],'Laba-Rugi'!B22)</f>
        <v>4</v>
      </c>
      <c r="D22" s="146">
        <f>_xlfn.XLOOKUP(B22,'Data Produk'!A:A,'Data Produk'!B:B)*C22*10^3</f>
        <v>352000</v>
      </c>
      <c r="E22" s="141">
        <f>SUMIFS(Table15[Subtotal],Table15[PRODUK],'Laba-Rugi'!B22)</f>
        <v>388000</v>
      </c>
      <c r="F22" s="142">
        <f t="shared" si="0"/>
        <v>36000</v>
      </c>
    </row>
    <row r="23" spans="2:6" x14ac:dyDescent="0.25">
      <c r="B23" s="12" t="str">
        <v>MARBLONG</v>
      </c>
      <c r="C23" s="138">
        <f>SUMIFS(Table15[Qty],Table15[PRODUK],'Laba-Rugi'!B23)</f>
        <v>2</v>
      </c>
      <c r="D23" s="146">
        <f>_xlfn.XLOOKUP(B23,'Data Produk'!A:A,'Data Produk'!B:B)*C23*10^3</f>
        <v>130000</v>
      </c>
      <c r="E23" s="141">
        <f>SUMIFS(Table15[Subtotal],Table15[PRODUK],'Laba-Rugi'!B23)</f>
        <v>150000</v>
      </c>
      <c r="F23" s="142">
        <f t="shared" si="0"/>
        <v>20000</v>
      </c>
    </row>
    <row r="24" spans="2:6" x14ac:dyDescent="0.25">
      <c r="B24" s="12" t="str">
        <v>MARBOLL BLUEBERRY</v>
      </c>
      <c r="C24" s="138">
        <f>SUMIFS(Table15[Qty],Table15[PRODUK],'Laba-Rugi'!B24)</f>
        <v>6</v>
      </c>
      <c r="D24" s="146">
        <f>_xlfn.XLOOKUP(B24,'Data Produk'!A:A,'Data Produk'!B:B)*C24*10^3</f>
        <v>402000</v>
      </c>
      <c r="E24" s="141">
        <f>SUMIFS(Table15[Subtotal],Table15[PRODUK],'Laba-Rugi'!B24)</f>
        <v>498000</v>
      </c>
      <c r="F24" s="142">
        <f t="shared" si="0"/>
        <v>96000</v>
      </c>
    </row>
    <row r="25" spans="2:6" x14ac:dyDescent="0.25">
      <c r="B25" s="12" t="str">
        <v>MARBOLL HLP</v>
      </c>
      <c r="C25" s="138">
        <f>SUMIFS(Table15[Qty],Table15[PRODUK],'Laba-Rugi'!B25)</f>
        <v>27</v>
      </c>
      <c r="D25" s="146">
        <f>_xlfn.XLOOKUP(B25,'Data Produk'!A:A,'Data Produk'!B:B)*C25*10^3</f>
        <v>1971000</v>
      </c>
      <c r="E25" s="141">
        <f>SUMIFS(Table15[Subtotal],Table15[PRODUK],'Laba-Rugi'!B25)</f>
        <v>2181000</v>
      </c>
      <c r="F25" s="142">
        <f t="shared" si="0"/>
        <v>210000</v>
      </c>
    </row>
    <row r="26" spans="2:6" x14ac:dyDescent="0.25">
      <c r="B26" s="12" t="str">
        <v>MARBOLL MANUAL</v>
      </c>
      <c r="C26" s="138">
        <f>SUMIFS(Table15[Qty],Table15[PRODUK],'Laba-Rugi'!B26)</f>
        <v>40</v>
      </c>
      <c r="D26" s="146">
        <f>_xlfn.XLOOKUP(B26,'Data Produk'!A:A,'Data Produk'!B:B)*C26*10^3</f>
        <v>2680000</v>
      </c>
      <c r="E26" s="141">
        <f>SUMIFS(Table15[Subtotal],Table15[PRODUK],'Laba-Rugi'!B26)</f>
        <v>2800000</v>
      </c>
      <c r="F26" s="142">
        <f t="shared" si="0"/>
        <v>120000</v>
      </c>
    </row>
    <row r="27" spans="2:6" x14ac:dyDescent="0.25">
      <c r="B27" s="12" t="str">
        <v>MARBOLL MELON</v>
      </c>
      <c r="C27" s="138">
        <f>SUMIFS(Table15[Qty],Table15[PRODUK],'Laba-Rugi'!B27)</f>
        <v>7</v>
      </c>
      <c r="D27" s="146">
        <f>_xlfn.XLOOKUP(B27,'Data Produk'!A:A,'Data Produk'!B:B)*C27*10^3</f>
        <v>539000</v>
      </c>
      <c r="E27" s="141">
        <f>SUMIFS(Table15[Subtotal],Table15[PRODUK],'Laba-Rugi'!B27)</f>
        <v>574000</v>
      </c>
      <c r="F27" s="142">
        <f t="shared" si="0"/>
        <v>35000</v>
      </c>
    </row>
    <row r="28" spans="2:6" x14ac:dyDescent="0.25">
      <c r="B28" s="12" t="str">
        <v>MARBOLL SEMANGKA</v>
      </c>
      <c r="C28" s="138">
        <f>SUMIFS(Table15[Qty],Table15[PRODUK],'Laba-Rugi'!B28)</f>
        <v>40</v>
      </c>
      <c r="D28" s="146">
        <f>_xlfn.XLOOKUP(B28,'Data Produk'!A:A,'Data Produk'!B:B)*C28*10^3</f>
        <v>2600000</v>
      </c>
      <c r="E28" s="141">
        <f>SUMIFS(Table15[Subtotal],Table15[PRODUK],'Laba-Rugi'!B28)</f>
        <v>3284000</v>
      </c>
      <c r="F28" s="142">
        <f t="shared" si="0"/>
        <v>684000</v>
      </c>
    </row>
    <row r="29" spans="2:6" x14ac:dyDescent="0.25">
      <c r="B29" s="12" t="str">
        <v>MC MERAH LOKAL</v>
      </c>
      <c r="C29" s="138">
        <f>SUMIFS(Table15[Qty],Table15[PRODUK],'Laba-Rugi'!B29)</f>
        <v>1</v>
      </c>
      <c r="D29" s="146">
        <f>_xlfn.XLOOKUP(B29,'Data Produk'!A:A,'Data Produk'!B:B)*C29*10^3</f>
        <v>107000</v>
      </c>
      <c r="E29" s="141">
        <f>SUMIFS(Table15[Subtotal],Table15[PRODUK],'Laba-Rugi'!B29)</f>
        <v>115000</v>
      </c>
      <c r="F29" s="142">
        <f t="shared" si="0"/>
        <v>8000</v>
      </c>
    </row>
    <row r="30" spans="2:6" x14ac:dyDescent="0.25">
      <c r="B30" s="12" t="str">
        <v>MD 16</v>
      </c>
      <c r="C30" s="138">
        <f>SUMIFS(Table15[Qty],Table15[PRODUK],'Laba-Rugi'!B30)</f>
        <v>100</v>
      </c>
      <c r="D30" s="146">
        <f>_xlfn.XLOOKUP(B30,'Data Produk'!A:A,'Data Produk'!B:B)*C30*10^3</f>
        <v>8000000</v>
      </c>
      <c r="E30" s="141">
        <f>SUMIFS(Table15[Subtotal],Table15[PRODUK],'Laba-Rugi'!B30)</f>
        <v>7060000</v>
      </c>
      <c r="F30" s="142">
        <f t="shared" si="0"/>
        <v>-940000</v>
      </c>
    </row>
    <row r="31" spans="2:6" x14ac:dyDescent="0.25">
      <c r="B31" s="12" t="str">
        <v>MD 20</v>
      </c>
      <c r="C31" s="138">
        <f>SUMIFS(Table15[Qty],Table15[PRODUK],'Laba-Rugi'!B31)</f>
        <v>9</v>
      </c>
      <c r="D31" s="146">
        <f>_xlfn.XLOOKUP(B31,'Data Produk'!A:A,'Data Produk'!B:B)*C31*10^3</f>
        <v>540000</v>
      </c>
      <c r="E31" s="141">
        <f>SUMIFS(Table15[Subtotal],Table15[PRODUK],'Laba-Rugi'!B31)</f>
        <v>783000</v>
      </c>
      <c r="F31" s="142">
        <f t="shared" si="0"/>
        <v>243000</v>
      </c>
    </row>
    <row r="32" spans="2:6" x14ac:dyDescent="0.25">
      <c r="B32" s="12" t="str">
        <v>NC BLUE 20</v>
      </c>
      <c r="C32" s="138">
        <f>SUMIFS(Table15[Qty],Table15[PRODUK],'Laba-Rugi'!B32)</f>
        <v>3</v>
      </c>
      <c r="D32" s="146">
        <f>_xlfn.XLOOKUP(B32,'Data Produk'!A:A,'Data Produk'!B:B)*C32*10^3</f>
        <v>210000</v>
      </c>
      <c r="E32" s="141">
        <f>SUMIFS(Table15[Subtotal],Table15[PRODUK],'Laba-Rugi'!B32)</f>
        <v>243000</v>
      </c>
      <c r="F32" s="142">
        <f t="shared" si="0"/>
        <v>33000</v>
      </c>
    </row>
    <row r="33" spans="2:6" x14ac:dyDescent="0.25">
      <c r="B33" s="12" t="str">
        <v>RAYDAN BLUE</v>
      </c>
      <c r="C33" s="138">
        <f>SUMIFS(Table15[Qty],Table15[PRODUK],'Laba-Rugi'!B33)</f>
        <v>2</v>
      </c>
      <c r="D33" s="146">
        <f>_xlfn.XLOOKUP(B33,'Data Produk'!A:A,'Data Produk'!B:B)*C33*10^3</f>
        <v>130000</v>
      </c>
      <c r="E33" s="141">
        <f>SUMIFS(Table15[Subtotal],Table15[PRODUK],'Laba-Rugi'!B33)</f>
        <v>166000</v>
      </c>
      <c r="F33" s="142">
        <f t="shared" si="0"/>
        <v>36000</v>
      </c>
    </row>
    <row r="34" spans="2:6" x14ac:dyDescent="0.25">
      <c r="B34" s="12" t="str">
        <v>SMITH LOKAL ANGGUR</v>
      </c>
      <c r="C34" s="138">
        <f>SUMIFS(Table15[Qty],Table15[PRODUK],'Laba-Rugi'!B34)</f>
        <v>5</v>
      </c>
      <c r="D34" s="146">
        <f>_xlfn.XLOOKUP(B34,'Data Produk'!A:A,'Data Produk'!B:B)*C34*10^3</f>
        <v>425000</v>
      </c>
      <c r="E34" s="141">
        <f>SUMIFS(Table15[Subtotal],Table15[PRODUK],'Laba-Rugi'!B34)</f>
        <v>435000</v>
      </c>
      <c r="F34" s="142">
        <f t="shared" si="0"/>
        <v>10000</v>
      </c>
    </row>
    <row r="35" spans="2:6" x14ac:dyDescent="0.25">
      <c r="B35" s="12" t="str">
        <v>SMITH LOKAL MELON</v>
      </c>
      <c r="C35" s="138">
        <f>SUMIFS(Table15[Qty],Table15[PRODUK],'Laba-Rugi'!B35)</f>
        <v>5</v>
      </c>
      <c r="D35" s="146">
        <f>_xlfn.XLOOKUP(B35,'Data Produk'!A:A,'Data Produk'!B:B)*C35*10^3</f>
        <v>425000</v>
      </c>
      <c r="E35" s="141">
        <f>SUMIFS(Table15[Subtotal],Table15[PRODUK],'Laba-Rugi'!B35)</f>
        <v>435000</v>
      </c>
      <c r="F35" s="142">
        <f t="shared" si="0"/>
        <v>10000</v>
      </c>
    </row>
    <row r="36" spans="2:6" x14ac:dyDescent="0.25">
      <c r="B36" s="12" t="str">
        <v>SMITH LOKAL SEMANGKA</v>
      </c>
      <c r="C36" s="138">
        <f>SUMIFS(Table15[Qty],Table15[PRODUK],'Laba-Rugi'!B36)</f>
        <v>4</v>
      </c>
      <c r="D36" s="146">
        <f>_xlfn.XLOOKUP(B36,'Data Produk'!A:A,'Data Produk'!B:B)*C36*10^3</f>
        <v>340000</v>
      </c>
      <c r="E36" s="141">
        <f>SUMIFS(Table15[Subtotal],Table15[PRODUK],'Laba-Rugi'!B36)</f>
        <v>348000</v>
      </c>
      <c r="F36" s="142">
        <f t="shared" si="0"/>
        <v>8000</v>
      </c>
    </row>
    <row r="37" spans="2:6" x14ac:dyDescent="0.25">
      <c r="B37" s="12" t="str">
        <v>SS</v>
      </c>
      <c r="C37" s="138">
        <f>SUMIFS(Table15[Qty],Table15[PRODUK],'Laba-Rugi'!B37)</f>
        <v>40</v>
      </c>
      <c r="D37" s="146">
        <f>_xlfn.XLOOKUP(B37,'Data Produk'!A:A,'Data Produk'!B:B)*C37*10^3</f>
        <v>3520000</v>
      </c>
      <c r="E37" s="141">
        <f>SUMIFS(Table15[Subtotal],Table15[PRODUK],'Laba-Rugi'!B37)</f>
        <v>3740000</v>
      </c>
      <c r="F37" s="142">
        <f t="shared" si="0"/>
        <v>220000</v>
      </c>
    </row>
    <row r="38" spans="2:6" x14ac:dyDescent="0.25">
      <c r="B38" s="12" t="str">
        <v>SS BOLONG</v>
      </c>
      <c r="C38" s="138">
        <f>SUMIFS(Table15[Qty],Table15[PRODUK],'Laba-Rugi'!B38)</f>
        <v>8</v>
      </c>
      <c r="D38" s="146">
        <f>_xlfn.XLOOKUP(B38,'Data Produk'!A:A,'Data Produk'!B:B)*C38*10^3</f>
        <v>504000</v>
      </c>
      <c r="E38" s="141">
        <f>SUMIFS(Table15[Subtotal],Table15[PRODUK],'Laba-Rugi'!B38)</f>
        <v>760000</v>
      </c>
      <c r="F38" s="142">
        <f t="shared" si="0"/>
        <v>256000</v>
      </c>
    </row>
    <row r="39" spans="2:6" x14ac:dyDescent="0.25">
      <c r="B39" s="12" t="str">
        <v>SURYA HITAM</v>
      </c>
      <c r="C39" s="138">
        <f>SUMIFS(Table15[Qty],Table15[PRODUK],'Laba-Rugi'!B39)</f>
        <v>14</v>
      </c>
      <c r="D39" s="146">
        <f>_xlfn.XLOOKUP(B39,'Data Produk'!A:A,'Data Produk'!B:B)*C39*10^3</f>
        <v>910000</v>
      </c>
      <c r="E39" s="141">
        <f>SUMIFS(Table15[Subtotal],Table15[PRODUK],'Laba-Rugi'!B39)</f>
        <v>1050000</v>
      </c>
      <c r="F39" s="142">
        <f t="shared" si="0"/>
        <v>140000</v>
      </c>
    </row>
    <row r="40" spans="2:6" x14ac:dyDescent="0.25">
      <c r="B40" s="12" t="str">
        <v>SURYA JAYA</v>
      </c>
      <c r="C40" s="138">
        <f>SUMIFS(Table15[Qty],Table15[PRODUK],'Laba-Rugi'!B40)</f>
        <v>5</v>
      </c>
      <c r="D40" s="146">
        <f>_xlfn.XLOOKUP(B40,'Data Produk'!A:A,'Data Produk'!B:B)*C40*10^3</f>
        <v>325000</v>
      </c>
      <c r="E40" s="141">
        <f>SUMIFS(Table15[Subtotal],Table15[PRODUK],'Laba-Rugi'!B40)</f>
        <v>350000</v>
      </c>
      <c r="F40" s="142">
        <f t="shared" si="0"/>
        <v>25000</v>
      </c>
    </row>
    <row r="41" spans="2:6" x14ac:dyDescent="0.25">
      <c r="B41" s="12" t="str">
        <v>SURYAKU PLASTIK</v>
      </c>
      <c r="C41" s="138">
        <f>SUMIFS(Table15[Qty],Table15[PRODUK],'Laba-Rugi'!B41)</f>
        <v>7</v>
      </c>
      <c r="D41" s="146">
        <f>_xlfn.XLOOKUP(B41,'Data Produk'!A:A,'Data Produk'!B:B)*C41*10^3</f>
        <v>490000</v>
      </c>
      <c r="E41" s="141">
        <f>SUMIFS(Table15[Subtotal],Table15[PRODUK],'Laba-Rugi'!B41)</f>
        <v>441000</v>
      </c>
      <c r="F41" s="142">
        <f t="shared" si="0"/>
        <v>-49000</v>
      </c>
    </row>
    <row r="42" spans="2:6" x14ac:dyDescent="0.25">
      <c r="B42" s="12"/>
      <c r="C42" s="138">
        <f>SUMIFS(Table15[Qty],Table15[PRODUK],'Laba-Rugi'!B42)</f>
        <v>0</v>
      </c>
      <c r="D42" s="146">
        <f>_xlfn.XLOOKUP(B42,'Data Produk'!A:A,'Data Produk'!B:B)*C42*10^3</f>
        <v>0</v>
      </c>
      <c r="E42" s="141">
        <f>SUMIFS(Table15[Subtotal],Table15[PRODUK],'Laba-Rugi'!B42)</f>
        <v>0</v>
      </c>
      <c r="F42" s="142">
        <f t="shared" ref="F42:F105" si="1">E42-D42</f>
        <v>0</v>
      </c>
    </row>
    <row r="43" spans="2:6" x14ac:dyDescent="0.25">
      <c r="B43" s="12"/>
      <c r="C43" s="138">
        <f>SUMIFS(Table15[Qty],Table15[PRODUK],'Laba-Rugi'!B43)</f>
        <v>0</v>
      </c>
      <c r="D43" s="146">
        <f>_xlfn.XLOOKUP(B43,'Data Produk'!A:A,'Data Produk'!B:B)*C43*10^3</f>
        <v>0</v>
      </c>
      <c r="E43" s="141">
        <f>SUMIFS(Table15[Subtotal],Table15[PRODUK],'Laba-Rugi'!B43)</f>
        <v>0</v>
      </c>
      <c r="F43" s="142">
        <f t="shared" si="1"/>
        <v>0</v>
      </c>
    </row>
    <row r="44" spans="2:6" x14ac:dyDescent="0.25">
      <c r="B44" s="12"/>
      <c r="C44" s="138">
        <f>SUMIFS(Table15[Qty],Table15[PRODUK],'Laba-Rugi'!B44)</f>
        <v>0</v>
      </c>
      <c r="D44" s="146">
        <f>_xlfn.XLOOKUP(B44,'Data Produk'!A:A,'Data Produk'!B:B)*C44*10^3</f>
        <v>0</v>
      </c>
      <c r="E44" s="141">
        <f>SUMIFS(Table15[Subtotal],Table15[PRODUK],'Laba-Rugi'!B44)</f>
        <v>0</v>
      </c>
      <c r="F44" s="142">
        <f t="shared" si="1"/>
        <v>0</v>
      </c>
    </row>
    <row r="45" spans="2:6" x14ac:dyDescent="0.25">
      <c r="B45" s="12"/>
      <c r="C45" s="138">
        <f>SUMIFS(Table15[Qty],Table15[PRODUK],'Laba-Rugi'!B45)</f>
        <v>0</v>
      </c>
      <c r="D45" s="146">
        <f>_xlfn.XLOOKUP(B45,'Data Produk'!A:A,'Data Produk'!B:B)*C45*10^3</f>
        <v>0</v>
      </c>
      <c r="E45" s="141">
        <f>SUMIFS(Table15[Subtotal],Table15[PRODUK],'Laba-Rugi'!B45)</f>
        <v>0</v>
      </c>
      <c r="F45" s="142">
        <f t="shared" si="1"/>
        <v>0</v>
      </c>
    </row>
    <row r="46" spans="2:6" x14ac:dyDescent="0.25">
      <c r="B46" s="12"/>
      <c r="C46" s="138">
        <f>SUMIFS(Table15[Qty],Table15[PRODUK],'Laba-Rugi'!B46)</f>
        <v>0</v>
      </c>
      <c r="D46" s="146">
        <f>_xlfn.XLOOKUP(B46,'Data Produk'!A:A,'Data Produk'!B:B)*C46*10^3</f>
        <v>0</v>
      </c>
      <c r="E46" s="141">
        <f>SUMIFS(Table15[Subtotal],Table15[PRODUK],'Laba-Rugi'!B46)</f>
        <v>0</v>
      </c>
      <c r="F46" s="142">
        <f t="shared" si="1"/>
        <v>0</v>
      </c>
    </row>
    <row r="47" spans="2:6" x14ac:dyDescent="0.25">
      <c r="B47" s="12"/>
      <c r="C47" s="138">
        <f>SUMIFS(Table15[Qty],Table15[PRODUK],'Laba-Rugi'!B47)</f>
        <v>0</v>
      </c>
      <c r="D47" s="146">
        <f>_xlfn.XLOOKUP(B47,'Data Produk'!A:A,'Data Produk'!B:B)*C47*10^3</f>
        <v>0</v>
      </c>
      <c r="E47" s="141">
        <f>SUMIFS(Table15[Subtotal],Table15[PRODUK],'Laba-Rugi'!B47)</f>
        <v>0</v>
      </c>
      <c r="F47" s="142">
        <f t="shared" si="1"/>
        <v>0</v>
      </c>
    </row>
    <row r="48" spans="2:6" x14ac:dyDescent="0.25">
      <c r="B48" s="12"/>
      <c r="C48" s="138">
        <f>SUMIFS(Table15[Qty],Table15[PRODUK],'Laba-Rugi'!B48)</f>
        <v>0</v>
      </c>
      <c r="D48" s="146">
        <f>_xlfn.XLOOKUP(B48,'Data Produk'!A:A,'Data Produk'!B:B)*C48*10^3</f>
        <v>0</v>
      </c>
      <c r="E48" s="141">
        <f>SUMIFS(Table15[Subtotal],Table15[PRODUK],'Laba-Rugi'!B48)</f>
        <v>0</v>
      </c>
      <c r="F48" s="142">
        <f t="shared" si="1"/>
        <v>0</v>
      </c>
    </row>
    <row r="49" spans="2:6" x14ac:dyDescent="0.25">
      <c r="B49" s="12"/>
      <c r="C49" s="138">
        <f>SUMIFS(Table15[Qty],Table15[PRODUK],'Laba-Rugi'!B49)</f>
        <v>0</v>
      </c>
      <c r="D49" s="146">
        <f>_xlfn.XLOOKUP(B49,'Data Produk'!A:A,'Data Produk'!B:B)*C49*10^3</f>
        <v>0</v>
      </c>
      <c r="E49" s="141">
        <f>SUMIFS(Table15[Subtotal],Table15[PRODUK],'Laba-Rugi'!B49)</f>
        <v>0</v>
      </c>
      <c r="F49" s="142">
        <f t="shared" si="1"/>
        <v>0</v>
      </c>
    </row>
    <row r="50" spans="2:6" x14ac:dyDescent="0.25">
      <c r="B50" s="12"/>
      <c r="C50" s="138">
        <f>SUMIFS(Table15[Qty],Table15[PRODUK],'Laba-Rugi'!B50)</f>
        <v>0</v>
      </c>
      <c r="D50" s="146">
        <f>_xlfn.XLOOKUP(B50,'Data Produk'!A:A,'Data Produk'!B:B)*C50*10^3</f>
        <v>0</v>
      </c>
      <c r="E50" s="141">
        <f>SUMIFS(Table15[Subtotal],Table15[PRODUK],'Laba-Rugi'!B50)</f>
        <v>0</v>
      </c>
      <c r="F50" s="142">
        <f t="shared" si="1"/>
        <v>0</v>
      </c>
    </row>
    <row r="51" spans="2:6" x14ac:dyDescent="0.25">
      <c r="B51" s="12"/>
      <c r="C51" s="138">
        <f>SUMIFS(Table15[Qty],Table15[PRODUK],'Laba-Rugi'!B51)</f>
        <v>0</v>
      </c>
      <c r="D51" s="146">
        <f>_xlfn.XLOOKUP(B51,'Data Produk'!A:A,'Data Produk'!B:B)*C51*10^3</f>
        <v>0</v>
      </c>
      <c r="E51" s="141">
        <f>SUMIFS(Table15[Subtotal],Table15[PRODUK],'Laba-Rugi'!B51)</f>
        <v>0</v>
      </c>
      <c r="F51" s="142">
        <f t="shared" si="1"/>
        <v>0</v>
      </c>
    </row>
    <row r="52" spans="2:6" x14ac:dyDescent="0.25">
      <c r="B52" s="12"/>
      <c r="C52" s="138">
        <f>SUMIFS(Table15[Qty],Table15[PRODUK],'Laba-Rugi'!B52)</f>
        <v>0</v>
      </c>
      <c r="D52" s="146">
        <f>_xlfn.XLOOKUP(B52,'Data Produk'!A:A,'Data Produk'!B:B)*C52*10^3</f>
        <v>0</v>
      </c>
      <c r="E52" s="141">
        <f>SUMIFS(Table15[Subtotal],Table15[PRODUK],'Laba-Rugi'!B52)</f>
        <v>0</v>
      </c>
      <c r="F52" s="142">
        <f t="shared" si="1"/>
        <v>0</v>
      </c>
    </row>
    <row r="53" spans="2:6" x14ac:dyDescent="0.25">
      <c r="B53" s="12"/>
      <c r="C53" s="138">
        <f>SUMIFS(Table15[Qty],Table15[PRODUK],'Laba-Rugi'!B53)</f>
        <v>0</v>
      </c>
      <c r="D53" s="146">
        <f>_xlfn.XLOOKUP(B53,'Data Produk'!A:A,'Data Produk'!B:B)*C53*10^3</f>
        <v>0</v>
      </c>
      <c r="E53" s="141">
        <f>SUMIFS(Table15[Subtotal],Table15[PRODUK],'Laba-Rugi'!B53)</f>
        <v>0</v>
      </c>
      <c r="F53" s="142">
        <f t="shared" si="1"/>
        <v>0</v>
      </c>
    </row>
    <row r="54" spans="2:6" x14ac:dyDescent="0.25">
      <c r="B54" s="12"/>
      <c r="C54" s="138">
        <f>SUMIFS(Table15[Qty],Table15[PRODUK],'Laba-Rugi'!B54)</f>
        <v>0</v>
      </c>
      <c r="D54" s="146">
        <f>_xlfn.XLOOKUP(B54,'Data Produk'!A:A,'Data Produk'!B:B)*C54*10^3</f>
        <v>0</v>
      </c>
      <c r="E54" s="141">
        <f>SUMIFS(Table15[Subtotal],Table15[PRODUK],'Laba-Rugi'!B54)</f>
        <v>0</v>
      </c>
      <c r="F54" s="142">
        <f t="shared" si="1"/>
        <v>0</v>
      </c>
    </row>
    <row r="55" spans="2:6" x14ac:dyDescent="0.25">
      <c r="B55" s="12"/>
      <c r="C55" s="138">
        <f>SUMIFS(Table15[Qty],Table15[PRODUK],'Laba-Rugi'!B55)</f>
        <v>0</v>
      </c>
      <c r="D55" s="146">
        <f>_xlfn.XLOOKUP(B55,'Data Produk'!A:A,'Data Produk'!B:B)*C55*10^3</f>
        <v>0</v>
      </c>
      <c r="E55" s="141">
        <f>SUMIFS(Table15[Subtotal],Table15[PRODUK],'Laba-Rugi'!B55)</f>
        <v>0</v>
      </c>
      <c r="F55" s="142">
        <f t="shared" si="1"/>
        <v>0</v>
      </c>
    </row>
    <row r="56" spans="2:6" x14ac:dyDescent="0.25">
      <c r="B56" s="12"/>
      <c r="C56" s="138">
        <f>SUMIFS(Table15[Qty],Table15[PRODUK],'Laba-Rugi'!B56)</f>
        <v>0</v>
      </c>
      <c r="D56" s="146">
        <f>_xlfn.XLOOKUP(B56,'Data Produk'!A:A,'Data Produk'!B:B)*C56*10^3</f>
        <v>0</v>
      </c>
      <c r="E56" s="141">
        <f>SUMIFS(Table15[Subtotal],Table15[PRODUK],'Laba-Rugi'!B56)</f>
        <v>0</v>
      </c>
      <c r="F56" s="142">
        <f t="shared" si="1"/>
        <v>0</v>
      </c>
    </row>
    <row r="57" spans="2:6" x14ac:dyDescent="0.25">
      <c r="B57" s="12"/>
      <c r="C57" s="138">
        <f>SUMIFS(Table15[Qty],Table15[PRODUK],'Laba-Rugi'!B57)</f>
        <v>0</v>
      </c>
      <c r="D57" s="146">
        <f>_xlfn.XLOOKUP(B57,'Data Produk'!A:A,'Data Produk'!B:B)*C57*10^3</f>
        <v>0</v>
      </c>
      <c r="E57" s="141">
        <f>SUMIFS(Table15[Subtotal],Table15[PRODUK],'Laba-Rugi'!B57)</f>
        <v>0</v>
      </c>
      <c r="F57" s="142">
        <f t="shared" si="1"/>
        <v>0</v>
      </c>
    </row>
    <row r="58" spans="2:6" x14ac:dyDescent="0.25">
      <c r="B58" s="12"/>
      <c r="C58" s="138">
        <f>SUMIFS(Table15[Qty],Table15[PRODUK],'Laba-Rugi'!B58)</f>
        <v>0</v>
      </c>
      <c r="D58" s="146">
        <f>_xlfn.XLOOKUP(B58,'Data Produk'!A:A,'Data Produk'!B:B)*C58*10^3</f>
        <v>0</v>
      </c>
      <c r="E58" s="141">
        <f>SUMIFS(Table15[Subtotal],Table15[PRODUK],'Laba-Rugi'!B58)</f>
        <v>0</v>
      </c>
      <c r="F58" s="142">
        <f t="shared" si="1"/>
        <v>0</v>
      </c>
    </row>
    <row r="59" spans="2:6" x14ac:dyDescent="0.25">
      <c r="B59" s="12"/>
      <c r="C59" s="138">
        <f>SUMIFS(Table15[Qty],Table15[PRODUK],'Laba-Rugi'!B59)</f>
        <v>0</v>
      </c>
      <c r="D59" s="146">
        <f>_xlfn.XLOOKUP(B59,'Data Produk'!A:A,'Data Produk'!B:B)*C59*10^3</f>
        <v>0</v>
      </c>
      <c r="E59" s="141">
        <f>SUMIFS(Table15[Subtotal],Table15[PRODUK],'Laba-Rugi'!B59)</f>
        <v>0</v>
      </c>
      <c r="F59" s="142">
        <f t="shared" si="1"/>
        <v>0</v>
      </c>
    </row>
    <row r="60" spans="2:6" x14ac:dyDescent="0.25">
      <c r="B60" s="12"/>
      <c r="C60" s="138">
        <f>SUMIFS(Table15[Qty],Table15[PRODUK],'Laba-Rugi'!B60)</f>
        <v>0</v>
      </c>
      <c r="D60" s="146">
        <f>_xlfn.XLOOKUP(B60,'Data Produk'!A:A,'Data Produk'!B:B)*C60*10^3</f>
        <v>0</v>
      </c>
      <c r="E60" s="141">
        <f>SUMIFS(Table15[Subtotal],Table15[PRODUK],'Laba-Rugi'!B60)</f>
        <v>0</v>
      </c>
      <c r="F60" s="142">
        <f t="shared" si="1"/>
        <v>0</v>
      </c>
    </row>
    <row r="61" spans="2:6" x14ac:dyDescent="0.25">
      <c r="B61" s="12"/>
      <c r="C61" s="138">
        <f>SUMIFS(Table15[Qty],Table15[PRODUK],'Laba-Rugi'!B61)</f>
        <v>0</v>
      </c>
      <c r="D61" s="146">
        <f>_xlfn.XLOOKUP(B61,'Data Produk'!A:A,'Data Produk'!B:B)*C61*10^3</f>
        <v>0</v>
      </c>
      <c r="E61" s="141">
        <f>SUMIFS(Table15[Subtotal],Table15[PRODUK],'Laba-Rugi'!B61)</f>
        <v>0</v>
      </c>
      <c r="F61" s="142">
        <f t="shared" si="1"/>
        <v>0</v>
      </c>
    </row>
    <row r="62" spans="2:6" x14ac:dyDescent="0.25">
      <c r="B62" s="12"/>
      <c r="C62" s="138">
        <f>SUMIFS(Table15[Qty],Table15[PRODUK],'Laba-Rugi'!B62)</f>
        <v>0</v>
      </c>
      <c r="D62" s="146">
        <f>_xlfn.XLOOKUP(B62,'Data Produk'!A:A,'Data Produk'!B:B)*C62*10^3</f>
        <v>0</v>
      </c>
      <c r="E62" s="141">
        <f>SUMIFS(Table15[Subtotal],Table15[PRODUK],'Laba-Rugi'!B62)</f>
        <v>0</v>
      </c>
      <c r="F62" s="142">
        <f t="shared" si="1"/>
        <v>0</v>
      </c>
    </row>
    <row r="63" spans="2:6" x14ac:dyDescent="0.25">
      <c r="B63" s="12"/>
      <c r="C63" s="138">
        <f>SUMIFS(Table15[Qty],Table15[PRODUK],'Laba-Rugi'!B63)</f>
        <v>0</v>
      </c>
      <c r="D63" s="146">
        <f>_xlfn.XLOOKUP(B63,'Data Produk'!A:A,'Data Produk'!B:B)*C63*10^3</f>
        <v>0</v>
      </c>
      <c r="E63" s="141">
        <f>SUMIFS(Table15[Subtotal],Table15[PRODUK],'Laba-Rugi'!B63)</f>
        <v>0</v>
      </c>
      <c r="F63" s="142">
        <f t="shared" si="1"/>
        <v>0</v>
      </c>
    </row>
    <row r="64" spans="2:6" x14ac:dyDescent="0.25">
      <c r="B64" s="12"/>
      <c r="C64" s="138">
        <f>SUMIFS(Table15[Qty],Table15[PRODUK],'Laba-Rugi'!B64)</f>
        <v>0</v>
      </c>
      <c r="D64" s="146">
        <f>_xlfn.XLOOKUP(B64,'Data Produk'!A:A,'Data Produk'!B:B)*C64*10^3</f>
        <v>0</v>
      </c>
      <c r="E64" s="141">
        <f>SUMIFS(Table15[Subtotal],Table15[PRODUK],'Laba-Rugi'!B64)</f>
        <v>0</v>
      </c>
      <c r="F64" s="142">
        <f t="shared" si="1"/>
        <v>0</v>
      </c>
    </row>
    <row r="65" spans="2:6" x14ac:dyDescent="0.25">
      <c r="B65" s="12"/>
      <c r="C65" s="138">
        <f>SUMIFS(Table15[Qty],Table15[PRODUK],'Laba-Rugi'!B65)</f>
        <v>0</v>
      </c>
      <c r="D65" s="146">
        <f>_xlfn.XLOOKUP(B65,'Data Produk'!A:A,'Data Produk'!B:B)*C65*10^3</f>
        <v>0</v>
      </c>
      <c r="E65" s="141">
        <f>SUMIFS(Table15[Subtotal],Table15[PRODUK],'Laba-Rugi'!B65)</f>
        <v>0</v>
      </c>
      <c r="F65" s="142">
        <f t="shared" si="1"/>
        <v>0</v>
      </c>
    </row>
    <row r="66" spans="2:6" x14ac:dyDescent="0.25">
      <c r="B66" s="12"/>
      <c r="C66" s="138">
        <f>SUMIFS(Table15[Qty],Table15[PRODUK],'Laba-Rugi'!B66)</f>
        <v>0</v>
      </c>
      <c r="D66" s="146">
        <f>_xlfn.XLOOKUP(B66,'Data Produk'!A:A,'Data Produk'!B:B)*C66*10^3</f>
        <v>0</v>
      </c>
      <c r="E66" s="141">
        <f>SUMIFS(Table15[Subtotal],Table15[PRODUK],'Laba-Rugi'!B66)</f>
        <v>0</v>
      </c>
      <c r="F66" s="142">
        <f t="shared" si="1"/>
        <v>0</v>
      </c>
    </row>
    <row r="67" spans="2:6" x14ac:dyDescent="0.25">
      <c r="B67" s="12"/>
      <c r="C67" s="138">
        <f>SUMIFS(Table15[Qty],Table15[PRODUK],'Laba-Rugi'!B67)</f>
        <v>0</v>
      </c>
      <c r="D67" s="146">
        <f>_xlfn.XLOOKUP(B67,'Data Produk'!A:A,'Data Produk'!B:B)*C67*10^3</f>
        <v>0</v>
      </c>
      <c r="E67" s="141">
        <f>SUMIFS(Table15[Subtotal],Table15[PRODUK],'Laba-Rugi'!B67)</f>
        <v>0</v>
      </c>
      <c r="F67" s="142">
        <f t="shared" si="1"/>
        <v>0</v>
      </c>
    </row>
    <row r="68" spans="2:6" x14ac:dyDescent="0.25">
      <c r="B68" s="12"/>
      <c r="C68" s="138">
        <f>SUMIFS(Table15[Qty],Table15[PRODUK],'Laba-Rugi'!B68)</f>
        <v>0</v>
      </c>
      <c r="D68" s="146">
        <f>_xlfn.XLOOKUP(B68,'Data Produk'!A:A,'Data Produk'!B:B)*C68*10^3</f>
        <v>0</v>
      </c>
      <c r="E68" s="141">
        <f>SUMIFS(Table15[Subtotal],Table15[PRODUK],'Laba-Rugi'!B68)</f>
        <v>0</v>
      </c>
      <c r="F68" s="142">
        <f t="shared" si="1"/>
        <v>0</v>
      </c>
    </row>
    <row r="69" spans="2:6" x14ac:dyDescent="0.25">
      <c r="B69" s="12"/>
      <c r="C69" s="138">
        <f>SUMIFS(Table15[Qty],Table15[PRODUK],'Laba-Rugi'!B69)</f>
        <v>0</v>
      </c>
      <c r="D69" s="146">
        <f>_xlfn.XLOOKUP(B69,'Data Produk'!A:A,'Data Produk'!B:B)*C69*10^3</f>
        <v>0</v>
      </c>
      <c r="E69" s="141">
        <f>SUMIFS(Table15[Subtotal],Table15[PRODUK],'Laba-Rugi'!B69)</f>
        <v>0</v>
      </c>
      <c r="F69" s="142">
        <f t="shared" si="1"/>
        <v>0</v>
      </c>
    </row>
    <row r="70" spans="2:6" x14ac:dyDescent="0.25">
      <c r="B70" s="12"/>
      <c r="C70" s="138">
        <f>SUMIFS(Table15[Qty],Table15[PRODUK],'Laba-Rugi'!B70)</f>
        <v>0</v>
      </c>
      <c r="D70" s="146">
        <f>_xlfn.XLOOKUP(B70,'Data Produk'!A:A,'Data Produk'!B:B)*C70*10^3</f>
        <v>0</v>
      </c>
      <c r="E70" s="141">
        <f>SUMIFS(Table15[Subtotal],Table15[PRODUK],'Laba-Rugi'!B70)</f>
        <v>0</v>
      </c>
      <c r="F70" s="142">
        <f t="shared" si="1"/>
        <v>0</v>
      </c>
    </row>
    <row r="71" spans="2:6" x14ac:dyDescent="0.25">
      <c r="B71" s="12"/>
      <c r="C71" s="138">
        <f>SUMIFS(Table15[Qty],Table15[PRODUK],'Laba-Rugi'!B71)</f>
        <v>0</v>
      </c>
      <c r="D71" s="146">
        <f>_xlfn.XLOOKUP(B71,'Data Produk'!A:A,'Data Produk'!B:B)*C71*10^3</f>
        <v>0</v>
      </c>
      <c r="E71" s="141">
        <f>SUMIFS(Table15[Subtotal],Table15[PRODUK],'Laba-Rugi'!B71)</f>
        <v>0</v>
      </c>
      <c r="F71" s="142">
        <f t="shared" si="1"/>
        <v>0</v>
      </c>
    </row>
    <row r="72" spans="2:6" x14ac:dyDescent="0.25">
      <c r="B72" s="12"/>
      <c r="C72" s="138">
        <f>SUMIFS(Table15[Qty],Table15[PRODUK],'Laba-Rugi'!B72)</f>
        <v>0</v>
      </c>
      <c r="D72" s="146">
        <f>_xlfn.XLOOKUP(B72,'Data Produk'!A:A,'Data Produk'!B:B)*C72*10^3</f>
        <v>0</v>
      </c>
      <c r="E72" s="141">
        <f>SUMIFS(Table15[Subtotal],Table15[PRODUK],'Laba-Rugi'!B72)</f>
        <v>0</v>
      </c>
      <c r="F72" s="142">
        <f t="shared" si="1"/>
        <v>0</v>
      </c>
    </row>
    <row r="73" spans="2:6" x14ac:dyDescent="0.25">
      <c r="B73" s="12"/>
      <c r="C73" s="138">
        <f>SUMIFS(Table15[Qty],Table15[PRODUK],'Laba-Rugi'!B73)</f>
        <v>0</v>
      </c>
      <c r="D73" s="146">
        <f>_xlfn.XLOOKUP(B73,'Data Produk'!A:A,'Data Produk'!B:B)*C73*10^3</f>
        <v>0</v>
      </c>
      <c r="E73" s="141">
        <f>SUMIFS(Table15[Subtotal],Table15[PRODUK],'Laba-Rugi'!B73)</f>
        <v>0</v>
      </c>
      <c r="F73" s="142">
        <f t="shared" si="1"/>
        <v>0</v>
      </c>
    </row>
    <row r="74" spans="2:6" x14ac:dyDescent="0.25">
      <c r="B74" s="12"/>
      <c r="C74" s="138">
        <f>SUMIFS(Table15[Qty],Table15[PRODUK],'Laba-Rugi'!B74)</f>
        <v>0</v>
      </c>
      <c r="D74" s="146">
        <f>_xlfn.XLOOKUP(B74,'Data Produk'!A:A,'Data Produk'!B:B)*C74*10^3</f>
        <v>0</v>
      </c>
      <c r="E74" s="141">
        <f>SUMIFS(Table15[Subtotal],Table15[PRODUK],'Laba-Rugi'!B74)</f>
        <v>0</v>
      </c>
      <c r="F74" s="142">
        <f t="shared" si="1"/>
        <v>0</v>
      </c>
    </row>
    <row r="75" spans="2:6" x14ac:dyDescent="0.25">
      <c r="B75" s="12"/>
      <c r="C75" s="138">
        <f>SUMIFS(Table15[Qty],Table15[PRODUK],'Laba-Rugi'!B75)</f>
        <v>0</v>
      </c>
      <c r="D75" s="146">
        <f>_xlfn.XLOOKUP(B75,'Data Produk'!A:A,'Data Produk'!B:B)*C75*10^3</f>
        <v>0</v>
      </c>
      <c r="E75" s="141">
        <f>SUMIFS(Table15[Subtotal],Table15[PRODUK],'Laba-Rugi'!B75)</f>
        <v>0</v>
      </c>
      <c r="F75" s="142">
        <f t="shared" si="1"/>
        <v>0</v>
      </c>
    </row>
    <row r="76" spans="2:6" x14ac:dyDescent="0.25">
      <c r="B76" s="12"/>
      <c r="C76" s="138">
        <f>SUMIFS(Table15[Qty],Table15[PRODUK],'Laba-Rugi'!B76)</f>
        <v>0</v>
      </c>
      <c r="D76" s="146">
        <f>_xlfn.XLOOKUP(B76,'Data Produk'!A:A,'Data Produk'!B:B)*C76*10^3</f>
        <v>0</v>
      </c>
      <c r="E76" s="141">
        <f>SUMIFS(Table15[Subtotal],Table15[PRODUK],'Laba-Rugi'!B76)</f>
        <v>0</v>
      </c>
      <c r="F76" s="142">
        <f t="shared" si="1"/>
        <v>0</v>
      </c>
    </row>
    <row r="77" spans="2:6" x14ac:dyDescent="0.25">
      <c r="B77" s="12"/>
      <c r="C77" s="138">
        <f>SUMIFS(Table15[Qty],Table15[PRODUK],'Laba-Rugi'!B77)</f>
        <v>0</v>
      </c>
      <c r="D77" s="146">
        <f>_xlfn.XLOOKUP(B77,'Data Produk'!A:A,'Data Produk'!B:B)*C77*10^3</f>
        <v>0</v>
      </c>
      <c r="E77" s="141">
        <f>SUMIFS(Table15[Subtotal],Table15[PRODUK],'Laba-Rugi'!B77)</f>
        <v>0</v>
      </c>
      <c r="F77" s="142">
        <f t="shared" si="1"/>
        <v>0</v>
      </c>
    </row>
    <row r="78" spans="2:6" x14ac:dyDescent="0.25">
      <c r="B78" s="12"/>
      <c r="C78" s="138">
        <f>SUMIFS(Table15[Qty],Table15[PRODUK],'Laba-Rugi'!B78)</f>
        <v>0</v>
      </c>
      <c r="D78" s="146">
        <f>_xlfn.XLOOKUP(B78,'Data Produk'!A:A,'Data Produk'!B:B)*C78*10^3</f>
        <v>0</v>
      </c>
      <c r="E78" s="141">
        <f>SUMIFS(Table15[Subtotal],Table15[PRODUK],'Laba-Rugi'!B78)</f>
        <v>0</v>
      </c>
      <c r="F78" s="142">
        <f t="shared" si="1"/>
        <v>0</v>
      </c>
    </row>
    <row r="79" spans="2:6" x14ac:dyDescent="0.25">
      <c r="B79" s="12"/>
      <c r="C79" s="138">
        <f>SUMIFS(Table15[Qty],Table15[PRODUK],'Laba-Rugi'!B79)</f>
        <v>0</v>
      </c>
      <c r="D79" s="146">
        <f>_xlfn.XLOOKUP(B79,'Data Produk'!A:A,'Data Produk'!B:B)*C79*10^3</f>
        <v>0</v>
      </c>
      <c r="E79" s="141">
        <f>SUMIFS(Table15[Subtotal],Table15[PRODUK],'Laba-Rugi'!B79)</f>
        <v>0</v>
      </c>
      <c r="F79" s="142">
        <f t="shared" si="1"/>
        <v>0</v>
      </c>
    </row>
    <row r="80" spans="2:6" x14ac:dyDescent="0.25">
      <c r="B80" s="12"/>
      <c r="C80" s="138">
        <f>SUMIFS(Table15[Qty],Table15[PRODUK],'Laba-Rugi'!B80)</f>
        <v>0</v>
      </c>
      <c r="D80" s="146">
        <f>_xlfn.XLOOKUP(B80,'Data Produk'!A:A,'Data Produk'!B:B)*C80*10^3</f>
        <v>0</v>
      </c>
      <c r="E80" s="141">
        <f>SUMIFS(Table15[Subtotal],Table15[PRODUK],'Laba-Rugi'!B80)</f>
        <v>0</v>
      </c>
      <c r="F80" s="142">
        <f t="shared" si="1"/>
        <v>0</v>
      </c>
    </row>
    <row r="81" spans="2:6" x14ac:dyDescent="0.25">
      <c r="B81" s="12"/>
      <c r="C81" s="138">
        <f>SUMIFS(Table15[Qty],Table15[PRODUK],'Laba-Rugi'!B81)</f>
        <v>0</v>
      </c>
      <c r="D81" s="146">
        <f>_xlfn.XLOOKUP(B81,'Data Produk'!A:A,'Data Produk'!B:B)*C81*10^3</f>
        <v>0</v>
      </c>
      <c r="E81" s="141">
        <f>SUMIFS(Table15[Subtotal],Table15[PRODUK],'Laba-Rugi'!B81)</f>
        <v>0</v>
      </c>
      <c r="F81" s="142">
        <f t="shared" si="1"/>
        <v>0</v>
      </c>
    </row>
    <row r="82" spans="2:6" x14ac:dyDescent="0.25">
      <c r="B82" s="12"/>
      <c r="C82" s="138">
        <f>SUMIFS(Table15[Qty],Table15[PRODUK],'Laba-Rugi'!B82)</f>
        <v>0</v>
      </c>
      <c r="D82" s="146">
        <f>_xlfn.XLOOKUP(B82,'Data Produk'!A:A,'Data Produk'!B:B)*C82*10^3</f>
        <v>0</v>
      </c>
      <c r="E82" s="141">
        <f>SUMIFS(Table15[Subtotal],Table15[PRODUK],'Laba-Rugi'!B82)</f>
        <v>0</v>
      </c>
      <c r="F82" s="142">
        <f t="shared" si="1"/>
        <v>0</v>
      </c>
    </row>
    <row r="83" spans="2:6" x14ac:dyDescent="0.25">
      <c r="B83" s="12"/>
      <c r="C83" s="138">
        <f>SUMIFS(Table15[Qty],Table15[PRODUK],'Laba-Rugi'!B83)</f>
        <v>0</v>
      </c>
      <c r="D83" s="146">
        <f>_xlfn.XLOOKUP(B83,'Data Produk'!A:A,'Data Produk'!B:B)*C83*10^3</f>
        <v>0</v>
      </c>
      <c r="E83" s="141">
        <f>SUMIFS(Table15[Subtotal],Table15[PRODUK],'Laba-Rugi'!B83)</f>
        <v>0</v>
      </c>
      <c r="F83" s="142">
        <f t="shared" si="1"/>
        <v>0</v>
      </c>
    </row>
    <row r="84" spans="2:6" x14ac:dyDescent="0.25">
      <c r="B84" s="12"/>
      <c r="C84" s="138">
        <f>SUMIFS(Table15[Qty],Table15[PRODUK],'Laba-Rugi'!B84)</f>
        <v>0</v>
      </c>
      <c r="D84" s="146">
        <f>_xlfn.XLOOKUP(B84,'Data Produk'!A:A,'Data Produk'!B:B)*C84*10^3</f>
        <v>0</v>
      </c>
      <c r="E84" s="141">
        <f>SUMIFS(Table15[Subtotal],Table15[PRODUK],'Laba-Rugi'!B84)</f>
        <v>0</v>
      </c>
      <c r="F84" s="142">
        <f t="shared" si="1"/>
        <v>0</v>
      </c>
    </row>
    <row r="85" spans="2:6" x14ac:dyDescent="0.25">
      <c r="B85" s="12"/>
      <c r="C85" s="138">
        <f>SUMIFS(Table15[Qty],Table15[PRODUK],'Laba-Rugi'!B85)</f>
        <v>0</v>
      </c>
      <c r="D85" s="146">
        <f>_xlfn.XLOOKUP(B85,'Data Produk'!A:A,'Data Produk'!B:B)*C85*10^3</f>
        <v>0</v>
      </c>
      <c r="E85" s="141">
        <f>SUMIFS(Table15[Subtotal],Table15[PRODUK],'Laba-Rugi'!B85)</f>
        <v>0</v>
      </c>
      <c r="F85" s="142">
        <f t="shared" si="1"/>
        <v>0</v>
      </c>
    </row>
    <row r="86" spans="2:6" x14ac:dyDescent="0.25">
      <c r="B86" s="12"/>
      <c r="C86" s="138">
        <f>SUMIFS(Table15[Qty],Table15[PRODUK],'Laba-Rugi'!B86)</f>
        <v>0</v>
      </c>
      <c r="D86" s="146">
        <f>_xlfn.XLOOKUP(B86,'Data Produk'!A:A,'Data Produk'!B:B)*C86*10^3</f>
        <v>0</v>
      </c>
      <c r="E86" s="141">
        <f>SUMIFS(Table15[Subtotal],Table15[PRODUK],'Laba-Rugi'!B86)</f>
        <v>0</v>
      </c>
      <c r="F86" s="142">
        <f t="shared" si="1"/>
        <v>0</v>
      </c>
    </row>
    <row r="87" spans="2:6" x14ac:dyDescent="0.25">
      <c r="B87" s="12"/>
      <c r="C87" s="138">
        <f>SUMIFS(Table15[Qty],Table15[PRODUK],'Laba-Rugi'!B87)</f>
        <v>0</v>
      </c>
      <c r="D87" s="146">
        <f>_xlfn.XLOOKUP(B87,'Data Produk'!A:A,'Data Produk'!B:B)*C87*10^3</f>
        <v>0</v>
      </c>
      <c r="E87" s="141">
        <f>SUMIFS(Table15[Subtotal],Table15[PRODUK],'Laba-Rugi'!B87)</f>
        <v>0</v>
      </c>
      <c r="F87" s="142">
        <f t="shared" si="1"/>
        <v>0</v>
      </c>
    </row>
    <row r="88" spans="2:6" x14ac:dyDescent="0.25">
      <c r="B88" s="12"/>
      <c r="C88" s="138">
        <f>SUMIFS(Table15[Qty],Table15[PRODUK],'Laba-Rugi'!B88)</f>
        <v>0</v>
      </c>
      <c r="D88" s="146">
        <f>_xlfn.XLOOKUP(B88,'Data Produk'!A:A,'Data Produk'!B:B)*C88*10^3</f>
        <v>0</v>
      </c>
      <c r="E88" s="141">
        <f>SUMIFS(Table15[Subtotal],Table15[PRODUK],'Laba-Rugi'!B88)</f>
        <v>0</v>
      </c>
      <c r="F88" s="142">
        <f t="shared" si="1"/>
        <v>0</v>
      </c>
    </row>
    <row r="89" spans="2:6" x14ac:dyDescent="0.25">
      <c r="B89" s="12"/>
      <c r="C89" s="138">
        <f>SUMIFS(Table15[Qty],Table15[PRODUK],'Laba-Rugi'!B89)</f>
        <v>0</v>
      </c>
      <c r="D89" s="146">
        <f>_xlfn.XLOOKUP(B89,'Data Produk'!A:A,'Data Produk'!B:B)*C89*10^3</f>
        <v>0</v>
      </c>
      <c r="E89" s="141">
        <f>SUMIFS(Table15[Subtotal],Table15[PRODUK],'Laba-Rugi'!B89)</f>
        <v>0</v>
      </c>
      <c r="F89" s="142">
        <f t="shared" si="1"/>
        <v>0</v>
      </c>
    </row>
    <row r="90" spans="2:6" x14ac:dyDescent="0.25">
      <c r="B90" s="12"/>
      <c r="C90" s="138">
        <f>SUMIFS(Table15[Qty],Table15[PRODUK],'Laba-Rugi'!B90)</f>
        <v>0</v>
      </c>
      <c r="D90" s="146">
        <f>_xlfn.XLOOKUP(B90,'Data Produk'!A:A,'Data Produk'!B:B)*C90*10^3</f>
        <v>0</v>
      </c>
      <c r="E90" s="141">
        <f>SUMIFS(Table15[Subtotal],Table15[PRODUK],'Laba-Rugi'!B90)</f>
        <v>0</v>
      </c>
      <c r="F90" s="142">
        <f t="shared" si="1"/>
        <v>0</v>
      </c>
    </row>
    <row r="91" spans="2:6" x14ac:dyDescent="0.25">
      <c r="B91" s="12"/>
      <c r="C91" s="138">
        <f>SUMIFS(Table15[Qty],Table15[PRODUK],'Laba-Rugi'!B91)</f>
        <v>0</v>
      </c>
      <c r="D91" s="146">
        <f>_xlfn.XLOOKUP(B91,'Data Produk'!A:A,'Data Produk'!B:B)*C91*10^3</f>
        <v>0</v>
      </c>
      <c r="E91" s="141">
        <f>SUMIFS(Table15[Subtotal],Table15[PRODUK],'Laba-Rugi'!B91)</f>
        <v>0</v>
      </c>
      <c r="F91" s="142">
        <f t="shared" si="1"/>
        <v>0</v>
      </c>
    </row>
    <row r="92" spans="2:6" x14ac:dyDescent="0.25">
      <c r="B92" s="12"/>
      <c r="C92" s="138">
        <f>SUMIFS(Table15[Qty],Table15[PRODUK],'Laba-Rugi'!B92)</f>
        <v>0</v>
      </c>
      <c r="D92" s="146">
        <f>_xlfn.XLOOKUP(B92,'Data Produk'!A:A,'Data Produk'!B:B)*C92*10^3</f>
        <v>0</v>
      </c>
      <c r="E92" s="141">
        <f>SUMIFS(Table15[Subtotal],Table15[PRODUK],'Laba-Rugi'!B92)</f>
        <v>0</v>
      </c>
      <c r="F92" s="142">
        <f t="shared" si="1"/>
        <v>0</v>
      </c>
    </row>
    <row r="93" spans="2:6" x14ac:dyDescent="0.25">
      <c r="B93" s="12"/>
      <c r="C93" s="138">
        <f>SUMIFS(Table15[Qty],Table15[PRODUK],'Laba-Rugi'!B93)</f>
        <v>0</v>
      </c>
      <c r="D93" s="146">
        <f>_xlfn.XLOOKUP(B93,'Data Produk'!A:A,'Data Produk'!B:B)*C93*10^3</f>
        <v>0</v>
      </c>
      <c r="E93" s="141">
        <f>SUMIFS(Table15[Subtotal],Table15[PRODUK],'Laba-Rugi'!B93)</f>
        <v>0</v>
      </c>
      <c r="F93" s="142">
        <f t="shared" si="1"/>
        <v>0</v>
      </c>
    </row>
    <row r="94" spans="2:6" x14ac:dyDescent="0.25">
      <c r="B94" s="12"/>
      <c r="C94" s="138">
        <f>SUMIFS(Table15[Qty],Table15[PRODUK],'Laba-Rugi'!B94)</f>
        <v>0</v>
      </c>
      <c r="D94" s="146">
        <f>_xlfn.XLOOKUP(B94,'Data Produk'!A:A,'Data Produk'!B:B)*C94*10^3</f>
        <v>0</v>
      </c>
      <c r="E94" s="141">
        <f>SUMIFS(Table15[Subtotal],Table15[PRODUK],'Laba-Rugi'!B94)</f>
        <v>0</v>
      </c>
      <c r="F94" s="142">
        <f t="shared" si="1"/>
        <v>0</v>
      </c>
    </row>
    <row r="95" spans="2:6" x14ac:dyDescent="0.25">
      <c r="B95" s="12"/>
      <c r="C95" s="138">
        <f>SUMIFS(Table15[Qty],Table15[PRODUK],'Laba-Rugi'!B95)</f>
        <v>0</v>
      </c>
      <c r="D95" s="146">
        <f>_xlfn.XLOOKUP(B95,'Data Produk'!A:A,'Data Produk'!B:B)*C95*10^3</f>
        <v>0</v>
      </c>
      <c r="E95" s="141">
        <f>SUMIFS(Table15[Subtotal],Table15[PRODUK],'Laba-Rugi'!B95)</f>
        <v>0</v>
      </c>
      <c r="F95" s="142">
        <f t="shared" si="1"/>
        <v>0</v>
      </c>
    </row>
    <row r="96" spans="2:6" x14ac:dyDescent="0.25">
      <c r="B96" s="12"/>
      <c r="C96" s="138">
        <f>SUMIFS(Table15[Qty],Table15[PRODUK],'Laba-Rugi'!B96)</f>
        <v>0</v>
      </c>
      <c r="D96" s="146">
        <f>_xlfn.XLOOKUP(B96,'Data Produk'!A:A,'Data Produk'!B:B)*C96*10^3</f>
        <v>0</v>
      </c>
      <c r="E96" s="141">
        <f>SUMIFS(Table15[Subtotal],Table15[PRODUK],'Laba-Rugi'!B96)</f>
        <v>0</v>
      </c>
      <c r="F96" s="142">
        <f t="shared" si="1"/>
        <v>0</v>
      </c>
    </row>
    <row r="97" spans="2:6" x14ac:dyDescent="0.25">
      <c r="B97" s="12"/>
      <c r="C97" s="138">
        <f>SUMIFS(Table15[Qty],Table15[PRODUK],'Laba-Rugi'!B97)</f>
        <v>0</v>
      </c>
      <c r="D97" s="146">
        <f>_xlfn.XLOOKUP(B97,'Data Produk'!A:A,'Data Produk'!B:B)*C97*10^3</f>
        <v>0</v>
      </c>
      <c r="E97" s="141">
        <f>SUMIFS(Table15[Subtotal],Table15[PRODUK],'Laba-Rugi'!B97)</f>
        <v>0</v>
      </c>
      <c r="F97" s="142">
        <f t="shared" si="1"/>
        <v>0</v>
      </c>
    </row>
    <row r="98" spans="2:6" x14ac:dyDescent="0.25">
      <c r="B98" s="12"/>
      <c r="C98" s="138">
        <f>SUMIFS(Table15[Qty],Table15[PRODUK],'Laba-Rugi'!B98)</f>
        <v>0</v>
      </c>
      <c r="D98" s="146">
        <f>_xlfn.XLOOKUP(B98,'Data Produk'!A:A,'Data Produk'!B:B)*C98*10^3</f>
        <v>0</v>
      </c>
      <c r="E98" s="141">
        <f>SUMIFS(Table15[Subtotal],Table15[PRODUK],'Laba-Rugi'!B98)</f>
        <v>0</v>
      </c>
      <c r="F98" s="142">
        <f t="shared" si="1"/>
        <v>0</v>
      </c>
    </row>
    <row r="99" spans="2:6" x14ac:dyDescent="0.25">
      <c r="B99" s="12"/>
      <c r="C99" s="138">
        <f>SUMIFS(Table15[Qty],Table15[PRODUK],'Laba-Rugi'!B99)</f>
        <v>0</v>
      </c>
      <c r="D99" s="146">
        <f>_xlfn.XLOOKUP(B99,'Data Produk'!A:A,'Data Produk'!B:B)*C99*10^3</f>
        <v>0</v>
      </c>
      <c r="E99" s="141">
        <f>SUMIFS(Table15[Subtotal],Table15[PRODUK],'Laba-Rugi'!B99)</f>
        <v>0</v>
      </c>
      <c r="F99" s="142">
        <f t="shared" si="1"/>
        <v>0</v>
      </c>
    </row>
    <row r="100" spans="2:6" x14ac:dyDescent="0.25">
      <c r="B100" s="12"/>
      <c r="C100" s="138">
        <f>SUMIFS(Table15[Qty],Table15[PRODUK],'Laba-Rugi'!B100)</f>
        <v>0</v>
      </c>
      <c r="D100" s="146">
        <f>_xlfn.XLOOKUP(B100,'Data Produk'!A:A,'Data Produk'!B:B)*C100*10^3</f>
        <v>0</v>
      </c>
      <c r="E100" s="141">
        <f>SUMIFS(Table15[Subtotal],Table15[PRODUK],'Laba-Rugi'!B100)</f>
        <v>0</v>
      </c>
      <c r="F100" s="142">
        <f t="shared" si="1"/>
        <v>0</v>
      </c>
    </row>
    <row r="101" spans="2:6" x14ac:dyDescent="0.25">
      <c r="B101" s="12"/>
      <c r="C101" s="138">
        <f>SUMIFS(Table15[Qty],Table15[PRODUK],'Laba-Rugi'!B101)</f>
        <v>0</v>
      </c>
      <c r="D101" s="146">
        <f>_xlfn.XLOOKUP(B101,'Data Produk'!A:A,'Data Produk'!B:B)*C101*10^3</f>
        <v>0</v>
      </c>
      <c r="E101" s="141">
        <f>SUMIFS(Table15[Subtotal],Table15[PRODUK],'Laba-Rugi'!B101)</f>
        <v>0</v>
      </c>
      <c r="F101" s="142">
        <f t="shared" si="1"/>
        <v>0</v>
      </c>
    </row>
    <row r="102" spans="2:6" x14ac:dyDescent="0.25">
      <c r="B102" s="12"/>
      <c r="C102" s="138">
        <f>SUMIFS(Table15[Qty],Table15[PRODUK],'Laba-Rugi'!B102)</f>
        <v>0</v>
      </c>
      <c r="D102" s="146">
        <f>_xlfn.XLOOKUP(B102,'Data Produk'!A:A,'Data Produk'!B:B)*C102*10^3</f>
        <v>0</v>
      </c>
      <c r="E102" s="141">
        <f>SUMIFS(Table15[Subtotal],Table15[PRODUK],'Laba-Rugi'!B102)</f>
        <v>0</v>
      </c>
      <c r="F102" s="142">
        <f t="shared" si="1"/>
        <v>0</v>
      </c>
    </row>
    <row r="103" spans="2:6" x14ac:dyDescent="0.25">
      <c r="B103" s="12"/>
      <c r="C103" s="138">
        <f>SUMIFS(Table15[Qty],Table15[PRODUK],'Laba-Rugi'!B103)</f>
        <v>0</v>
      </c>
      <c r="D103" s="146">
        <f>_xlfn.XLOOKUP(B103,'Data Produk'!A:A,'Data Produk'!B:B)*C103*10^3</f>
        <v>0</v>
      </c>
      <c r="E103" s="141">
        <f>SUMIFS(Table15[Subtotal],Table15[PRODUK],'Laba-Rugi'!B103)</f>
        <v>0</v>
      </c>
      <c r="F103" s="142">
        <f t="shared" si="1"/>
        <v>0</v>
      </c>
    </row>
    <row r="104" spans="2:6" x14ac:dyDescent="0.25">
      <c r="B104" s="12"/>
      <c r="C104" s="138">
        <f>SUMIFS(Table15[Qty],Table15[PRODUK],'Laba-Rugi'!B104)</f>
        <v>0</v>
      </c>
      <c r="D104" s="146">
        <f>_xlfn.XLOOKUP(B104,'Data Produk'!A:A,'Data Produk'!B:B)*C104*10^3</f>
        <v>0</v>
      </c>
      <c r="E104" s="141">
        <f>SUMIFS(Table15[Subtotal],Table15[PRODUK],'Laba-Rugi'!B104)</f>
        <v>0</v>
      </c>
      <c r="F104" s="142">
        <f t="shared" si="1"/>
        <v>0</v>
      </c>
    </row>
    <row r="105" spans="2:6" x14ac:dyDescent="0.25">
      <c r="B105" s="12"/>
      <c r="C105" s="138">
        <f>SUMIFS(Table15[Qty],Table15[PRODUK],'Laba-Rugi'!B105)</f>
        <v>0</v>
      </c>
      <c r="D105" s="146">
        <f>_xlfn.XLOOKUP(B105,'Data Produk'!A:A,'Data Produk'!B:B)*C105*10^3</f>
        <v>0</v>
      </c>
      <c r="E105" s="141">
        <f>SUMIFS(Table15[Subtotal],Table15[PRODUK],'Laba-Rugi'!B105)</f>
        <v>0</v>
      </c>
      <c r="F105" s="142">
        <f t="shared" si="1"/>
        <v>0</v>
      </c>
    </row>
    <row r="106" spans="2:6" x14ac:dyDescent="0.25">
      <c r="B106" s="12"/>
      <c r="C106" s="138">
        <f>SUMIFS(Table15[Qty],Table15[PRODUK],'Laba-Rugi'!B106)</f>
        <v>0</v>
      </c>
      <c r="D106" s="146">
        <f>_xlfn.XLOOKUP(B106,'Data Produk'!A:A,'Data Produk'!B:B)*C106*10^3</f>
        <v>0</v>
      </c>
      <c r="E106" s="141">
        <f>SUMIFS(Table15[Subtotal],Table15[PRODUK],'Laba-Rugi'!B106)</f>
        <v>0</v>
      </c>
      <c r="F106" s="142">
        <f t="shared" ref="F106:F137" si="2">E106-D106</f>
        <v>0</v>
      </c>
    </row>
    <row r="107" spans="2:6" x14ac:dyDescent="0.25">
      <c r="B107" s="12"/>
      <c r="C107" s="138">
        <f>SUMIFS(Table15[Qty],Table15[PRODUK],'Laba-Rugi'!B107)</f>
        <v>0</v>
      </c>
      <c r="D107" s="146">
        <f>_xlfn.XLOOKUP(B107,'Data Produk'!A:A,'Data Produk'!B:B)*C107*10^3</f>
        <v>0</v>
      </c>
      <c r="E107" s="141">
        <f>SUMIFS(Table15[Subtotal],Table15[PRODUK],'Laba-Rugi'!B107)</f>
        <v>0</v>
      </c>
      <c r="F107" s="142">
        <f t="shared" si="2"/>
        <v>0</v>
      </c>
    </row>
    <row r="108" spans="2:6" x14ac:dyDescent="0.25">
      <c r="B108" s="12"/>
      <c r="C108" s="138">
        <f>SUMIFS(Table15[Qty],Table15[PRODUK],'Laba-Rugi'!B108)</f>
        <v>0</v>
      </c>
      <c r="D108" s="146">
        <f>_xlfn.XLOOKUP(B108,'Data Produk'!A:A,'Data Produk'!B:B)*C108*10^3</f>
        <v>0</v>
      </c>
      <c r="E108" s="141">
        <f>SUMIFS(Table15[Subtotal],Table15[PRODUK],'Laba-Rugi'!B108)</f>
        <v>0</v>
      </c>
      <c r="F108" s="142">
        <f t="shared" si="2"/>
        <v>0</v>
      </c>
    </row>
    <row r="109" spans="2:6" x14ac:dyDescent="0.25">
      <c r="B109" s="12"/>
      <c r="C109" s="138">
        <f>SUMIFS(Table15[Qty],Table15[PRODUK],'Laba-Rugi'!B109)</f>
        <v>0</v>
      </c>
      <c r="D109" s="146">
        <f>_xlfn.XLOOKUP(B109,'Data Produk'!A:A,'Data Produk'!B:B)*C109*10^3</f>
        <v>0</v>
      </c>
      <c r="E109" s="141">
        <f>SUMIFS(Table15[Subtotal],Table15[PRODUK],'Laba-Rugi'!B109)</f>
        <v>0</v>
      </c>
      <c r="F109" s="142">
        <f t="shared" si="2"/>
        <v>0</v>
      </c>
    </row>
    <row r="110" spans="2:6" x14ac:dyDescent="0.25">
      <c r="B110" s="12"/>
      <c r="C110" s="138">
        <f>SUMIFS(Table15[Qty],Table15[PRODUK],'Laba-Rugi'!B110)</f>
        <v>0</v>
      </c>
      <c r="D110" s="146">
        <f>_xlfn.XLOOKUP(B110,'Data Produk'!A:A,'Data Produk'!B:B)*C110*10^3</f>
        <v>0</v>
      </c>
      <c r="E110" s="141">
        <f>SUMIFS(Table15[Subtotal],Table15[PRODUK],'Laba-Rugi'!B110)</f>
        <v>0</v>
      </c>
      <c r="F110" s="142">
        <f t="shared" si="2"/>
        <v>0</v>
      </c>
    </row>
    <row r="111" spans="2:6" x14ac:dyDescent="0.25">
      <c r="B111" s="12"/>
      <c r="C111" s="138">
        <f>SUMIFS(Table15[Qty],Table15[PRODUK],'Laba-Rugi'!B111)</f>
        <v>0</v>
      </c>
      <c r="D111" s="146">
        <f>_xlfn.XLOOKUP(B111,'Data Produk'!A:A,'Data Produk'!B:B)*C111*10^3</f>
        <v>0</v>
      </c>
      <c r="E111" s="141">
        <f>SUMIFS(Table15[Subtotal],Table15[PRODUK],'Laba-Rugi'!B111)</f>
        <v>0</v>
      </c>
      <c r="F111" s="142">
        <f t="shared" si="2"/>
        <v>0</v>
      </c>
    </row>
    <row r="112" spans="2:6" x14ac:dyDescent="0.25">
      <c r="B112" s="12"/>
      <c r="C112" s="138">
        <f>SUMIFS(Table15[Qty],Table15[PRODUK],'Laba-Rugi'!B112)</f>
        <v>0</v>
      </c>
      <c r="D112" s="146">
        <f>_xlfn.XLOOKUP(B112,'Data Produk'!A:A,'Data Produk'!B:B)*C112*10^3</f>
        <v>0</v>
      </c>
      <c r="E112" s="141">
        <f>SUMIFS(Table15[Subtotal],Table15[PRODUK],'Laba-Rugi'!B112)</f>
        <v>0</v>
      </c>
      <c r="F112" s="142">
        <f t="shared" si="2"/>
        <v>0</v>
      </c>
    </row>
    <row r="113" spans="2:6" x14ac:dyDescent="0.25">
      <c r="B113" s="12"/>
      <c r="C113" s="138">
        <f>SUMIFS(Table15[Qty],Table15[PRODUK],'Laba-Rugi'!B113)</f>
        <v>0</v>
      </c>
      <c r="D113" s="146">
        <f>_xlfn.XLOOKUP(B113,'Data Produk'!A:A,'Data Produk'!B:B)*C113*10^3</f>
        <v>0</v>
      </c>
      <c r="E113" s="141">
        <f>SUMIFS(Table15[Subtotal],Table15[PRODUK],'Laba-Rugi'!B113)</f>
        <v>0</v>
      </c>
      <c r="F113" s="142">
        <f t="shared" si="2"/>
        <v>0</v>
      </c>
    </row>
    <row r="114" spans="2:6" x14ac:dyDescent="0.25">
      <c r="B114" s="12"/>
      <c r="C114" s="138">
        <f>SUMIFS(Table15[Qty],Table15[PRODUK],'Laba-Rugi'!B114)</f>
        <v>0</v>
      </c>
      <c r="D114" s="146">
        <f>_xlfn.XLOOKUP(B114,'Data Produk'!A:A,'Data Produk'!B:B)*C114*10^3</f>
        <v>0</v>
      </c>
      <c r="E114" s="141">
        <f>SUMIFS(Table15[Subtotal],Table15[PRODUK],'Laba-Rugi'!B114)</f>
        <v>0</v>
      </c>
      <c r="F114" s="142">
        <f t="shared" si="2"/>
        <v>0</v>
      </c>
    </row>
    <row r="115" spans="2:6" x14ac:dyDescent="0.25">
      <c r="B115" s="12"/>
      <c r="C115" s="138">
        <f>SUMIFS(Table15[Qty],Table15[PRODUK],'Laba-Rugi'!B115)</f>
        <v>0</v>
      </c>
      <c r="D115" s="146">
        <f>_xlfn.XLOOKUP(B115,'Data Produk'!A:A,'Data Produk'!B:B)*C115*10^3</f>
        <v>0</v>
      </c>
      <c r="E115" s="141">
        <f>SUMIFS(Table15[Subtotal],Table15[PRODUK],'Laba-Rugi'!B115)</f>
        <v>0</v>
      </c>
      <c r="F115" s="142">
        <f t="shared" si="2"/>
        <v>0</v>
      </c>
    </row>
    <row r="116" spans="2:6" x14ac:dyDescent="0.25">
      <c r="B116" s="12"/>
      <c r="C116" s="138">
        <f>SUMIFS(Table15[Qty],Table15[PRODUK],'Laba-Rugi'!B116)</f>
        <v>0</v>
      </c>
      <c r="D116" s="146">
        <f>_xlfn.XLOOKUP(B116,'Data Produk'!A:A,'Data Produk'!B:B)*C116*10^3</f>
        <v>0</v>
      </c>
      <c r="E116" s="141">
        <f>SUMIFS(Table15[Subtotal],Table15[PRODUK],'Laba-Rugi'!B116)</f>
        <v>0</v>
      </c>
      <c r="F116" s="142">
        <f t="shared" si="2"/>
        <v>0</v>
      </c>
    </row>
    <row r="117" spans="2:6" x14ac:dyDescent="0.25">
      <c r="B117" s="12"/>
      <c r="C117" s="138">
        <f>SUMIFS(Table15[Qty],Table15[PRODUK],'Laba-Rugi'!B117)</f>
        <v>0</v>
      </c>
      <c r="D117" s="146">
        <f>_xlfn.XLOOKUP(B117,'Data Produk'!A:A,'Data Produk'!B:B)*C117*10^3</f>
        <v>0</v>
      </c>
      <c r="E117" s="141">
        <f>SUMIFS(Table15[Subtotal],Table15[PRODUK],'Laba-Rugi'!B117)</f>
        <v>0</v>
      </c>
      <c r="F117" s="142">
        <f t="shared" si="2"/>
        <v>0</v>
      </c>
    </row>
    <row r="118" spans="2:6" x14ac:dyDescent="0.25">
      <c r="B118" s="12"/>
      <c r="C118" s="138">
        <f>SUMIFS(Table15[Qty],Table15[PRODUK],'Laba-Rugi'!B118)</f>
        <v>0</v>
      </c>
      <c r="D118" s="146">
        <f>_xlfn.XLOOKUP(B118,'Data Produk'!A:A,'Data Produk'!B:B)*C118*10^3</f>
        <v>0</v>
      </c>
      <c r="E118" s="141">
        <f>SUMIFS(Table15[Subtotal],Table15[PRODUK],'Laba-Rugi'!B118)</f>
        <v>0</v>
      </c>
      <c r="F118" s="142">
        <f t="shared" si="2"/>
        <v>0</v>
      </c>
    </row>
    <row r="119" spans="2:6" x14ac:dyDescent="0.25">
      <c r="B119" s="12"/>
      <c r="C119" s="138">
        <f>SUMIFS(Table15[Qty],Table15[PRODUK],'Laba-Rugi'!B119)</f>
        <v>0</v>
      </c>
      <c r="D119" s="146">
        <f>_xlfn.XLOOKUP(B119,'Data Produk'!A:A,'Data Produk'!B:B)*C119*10^3</f>
        <v>0</v>
      </c>
      <c r="E119" s="141">
        <f>SUMIFS(Table15[Subtotal],Table15[PRODUK],'Laba-Rugi'!B119)</f>
        <v>0</v>
      </c>
      <c r="F119" s="142">
        <f t="shared" si="2"/>
        <v>0</v>
      </c>
    </row>
    <row r="120" spans="2:6" x14ac:dyDescent="0.25">
      <c r="B120" s="12"/>
      <c r="C120" s="138">
        <f>SUMIFS(Table15[Qty],Table15[PRODUK],'Laba-Rugi'!B120)</f>
        <v>0</v>
      </c>
      <c r="D120" s="146">
        <f>_xlfn.XLOOKUP(B120,'Data Produk'!A:A,'Data Produk'!B:B)*C120*10^3</f>
        <v>0</v>
      </c>
      <c r="E120" s="141">
        <f>SUMIFS(Table15[Subtotal],Table15[PRODUK],'Laba-Rugi'!B120)</f>
        <v>0</v>
      </c>
      <c r="F120" s="142">
        <f t="shared" si="2"/>
        <v>0</v>
      </c>
    </row>
    <row r="121" spans="2:6" x14ac:dyDescent="0.25">
      <c r="B121" s="12"/>
      <c r="C121" s="138">
        <f>SUMIFS(Table15[Qty],Table15[PRODUK],'Laba-Rugi'!B121)</f>
        <v>0</v>
      </c>
      <c r="D121" s="146">
        <f>_xlfn.XLOOKUP(B121,'Data Produk'!A:A,'Data Produk'!B:B)*C121*10^3</f>
        <v>0</v>
      </c>
      <c r="E121" s="141">
        <f>SUMIFS(Table15[Subtotal],Table15[PRODUK],'Laba-Rugi'!B121)</f>
        <v>0</v>
      </c>
      <c r="F121" s="142">
        <f t="shared" si="2"/>
        <v>0</v>
      </c>
    </row>
    <row r="122" spans="2:6" x14ac:dyDescent="0.25">
      <c r="B122" s="12"/>
      <c r="C122" s="138">
        <f>SUMIFS(Table15[Qty],Table15[PRODUK],'Laba-Rugi'!B122)</f>
        <v>0</v>
      </c>
      <c r="D122" s="146">
        <f>_xlfn.XLOOKUP(B122,'Data Produk'!A:A,'Data Produk'!B:B)*C122*10^3</f>
        <v>0</v>
      </c>
      <c r="E122" s="141">
        <f>SUMIFS(Table15[Subtotal],Table15[PRODUK],'Laba-Rugi'!B122)</f>
        <v>0</v>
      </c>
      <c r="F122" s="142">
        <f t="shared" si="2"/>
        <v>0</v>
      </c>
    </row>
    <row r="123" spans="2:6" x14ac:dyDescent="0.25">
      <c r="B123" s="12"/>
      <c r="C123" s="138">
        <f>SUMIFS(Table15[Qty],Table15[PRODUK],'Laba-Rugi'!B123)</f>
        <v>0</v>
      </c>
      <c r="D123" s="146">
        <f>_xlfn.XLOOKUP(B123,'Data Produk'!A:A,'Data Produk'!B:B)*C123*10^3</f>
        <v>0</v>
      </c>
      <c r="E123" s="141">
        <f>SUMIFS(Table15[Subtotal],Table15[PRODUK],'Laba-Rugi'!B123)</f>
        <v>0</v>
      </c>
      <c r="F123" s="142">
        <f t="shared" si="2"/>
        <v>0</v>
      </c>
    </row>
    <row r="124" spans="2:6" x14ac:dyDescent="0.25">
      <c r="B124" s="12"/>
      <c r="C124" s="138">
        <f>SUMIFS(Table15[Qty],Table15[PRODUK],'Laba-Rugi'!B124)</f>
        <v>0</v>
      </c>
      <c r="D124" s="146">
        <f>_xlfn.XLOOKUP(B124,'Data Produk'!A:A,'Data Produk'!B:B)*C124*10^3</f>
        <v>0</v>
      </c>
      <c r="E124" s="141">
        <f>SUMIFS(Table15[Subtotal],Table15[PRODUK],'Laba-Rugi'!B124)</f>
        <v>0</v>
      </c>
      <c r="F124" s="142">
        <f t="shared" si="2"/>
        <v>0</v>
      </c>
    </row>
    <row r="125" spans="2:6" x14ac:dyDescent="0.25">
      <c r="B125" s="12"/>
      <c r="C125" s="138">
        <f>SUMIFS(Table15[Qty],Table15[PRODUK],'Laba-Rugi'!B125)</f>
        <v>0</v>
      </c>
      <c r="D125" s="146">
        <f>_xlfn.XLOOKUP(B125,'Data Produk'!A:A,'Data Produk'!B:B)*C125*10^3</f>
        <v>0</v>
      </c>
      <c r="E125" s="141">
        <f>SUMIFS(Table15[Subtotal],Table15[PRODUK],'Laba-Rugi'!B125)</f>
        <v>0</v>
      </c>
      <c r="F125" s="142">
        <f t="shared" si="2"/>
        <v>0</v>
      </c>
    </row>
    <row r="126" spans="2:6" x14ac:dyDescent="0.25">
      <c r="B126" s="12"/>
      <c r="C126" s="138">
        <f>SUMIFS(Table15[Qty],Table15[PRODUK],'Laba-Rugi'!B126)</f>
        <v>0</v>
      </c>
      <c r="D126" s="146">
        <f>_xlfn.XLOOKUP(B126,'Data Produk'!A:A,'Data Produk'!B:B)*C126*10^3</f>
        <v>0</v>
      </c>
      <c r="E126" s="141">
        <f>SUMIFS(Table15[Subtotal],Table15[PRODUK],'Laba-Rugi'!B126)</f>
        <v>0</v>
      </c>
      <c r="F126" s="142">
        <f t="shared" si="2"/>
        <v>0</v>
      </c>
    </row>
    <row r="127" spans="2:6" x14ac:dyDescent="0.25">
      <c r="B127" s="12"/>
      <c r="C127" s="138">
        <f>SUMIFS(Table15[Qty],Table15[PRODUK],'Laba-Rugi'!B127)</f>
        <v>0</v>
      </c>
      <c r="D127" s="146">
        <f>_xlfn.XLOOKUP(B127,'Data Produk'!A:A,'Data Produk'!B:B)*C127*10^3</f>
        <v>0</v>
      </c>
      <c r="E127" s="141">
        <f>SUMIFS(Table15[Subtotal],Table15[PRODUK],'Laba-Rugi'!B127)</f>
        <v>0</v>
      </c>
      <c r="F127" s="142">
        <f t="shared" si="2"/>
        <v>0</v>
      </c>
    </row>
    <row r="128" spans="2:6" x14ac:dyDescent="0.25">
      <c r="B128" s="12"/>
      <c r="C128" s="138">
        <f>SUMIFS(Table15[Qty],Table15[PRODUK],'Laba-Rugi'!B128)</f>
        <v>0</v>
      </c>
      <c r="D128" s="146">
        <f>_xlfn.XLOOKUP(B128,'Data Produk'!A:A,'Data Produk'!B:B)*C128*10^3</f>
        <v>0</v>
      </c>
      <c r="E128" s="141">
        <f>SUMIFS(Table15[Subtotal],Table15[PRODUK],'Laba-Rugi'!B128)</f>
        <v>0</v>
      </c>
      <c r="F128" s="142">
        <f t="shared" si="2"/>
        <v>0</v>
      </c>
    </row>
    <row r="129" spans="2:6" x14ac:dyDescent="0.25">
      <c r="B129" s="12"/>
      <c r="C129" s="138">
        <f>SUMIFS(Table15[Qty],Table15[PRODUK],'Laba-Rugi'!B129)</f>
        <v>0</v>
      </c>
      <c r="D129" s="146">
        <f>_xlfn.XLOOKUP(B129,'Data Produk'!A:A,'Data Produk'!B:B)*C129*10^3</f>
        <v>0</v>
      </c>
      <c r="E129" s="141">
        <f>SUMIFS(Table15[Subtotal],Table15[PRODUK],'Laba-Rugi'!B129)</f>
        <v>0</v>
      </c>
      <c r="F129" s="142">
        <f t="shared" si="2"/>
        <v>0</v>
      </c>
    </row>
    <row r="130" spans="2:6" x14ac:dyDescent="0.25">
      <c r="B130" s="12"/>
      <c r="C130" s="138">
        <f>SUMIFS(Table15[Qty],Table15[PRODUK],'Laba-Rugi'!B130)</f>
        <v>0</v>
      </c>
      <c r="D130" s="146">
        <f>_xlfn.XLOOKUP(B130,'Data Produk'!A:A,'Data Produk'!B:B)*C130*10^3</f>
        <v>0</v>
      </c>
      <c r="E130" s="141">
        <f>SUMIFS(Table15[Subtotal],Table15[PRODUK],'Laba-Rugi'!B130)</f>
        <v>0</v>
      </c>
      <c r="F130" s="142">
        <f t="shared" si="2"/>
        <v>0</v>
      </c>
    </row>
    <row r="131" spans="2:6" x14ac:dyDescent="0.25">
      <c r="B131" s="12"/>
      <c r="C131" s="138">
        <f>SUMIFS(Table15[Qty],Table15[PRODUK],'Laba-Rugi'!B131)</f>
        <v>0</v>
      </c>
      <c r="D131" s="146">
        <f>_xlfn.XLOOKUP(B131,'Data Produk'!A:A,'Data Produk'!B:B)*C131*10^3</f>
        <v>0</v>
      </c>
      <c r="E131" s="141">
        <f>SUMIFS(Table15[Subtotal],Table15[PRODUK],'Laba-Rugi'!B131)</f>
        <v>0</v>
      </c>
      <c r="F131" s="142">
        <f t="shared" si="2"/>
        <v>0</v>
      </c>
    </row>
    <row r="132" spans="2:6" x14ac:dyDescent="0.25">
      <c r="B132" s="12"/>
      <c r="C132" s="138">
        <f>SUMIFS(Table15[Qty],Table15[PRODUK],'Laba-Rugi'!B132)</f>
        <v>0</v>
      </c>
      <c r="D132" s="146">
        <f>_xlfn.XLOOKUP(B132,'Data Produk'!A:A,'Data Produk'!B:B)*C132*10^3</f>
        <v>0</v>
      </c>
      <c r="E132" s="141">
        <f>SUMIFS(Table15[Subtotal],Table15[PRODUK],'Laba-Rugi'!B132)</f>
        <v>0</v>
      </c>
      <c r="F132" s="142">
        <f t="shared" si="2"/>
        <v>0</v>
      </c>
    </row>
    <row r="133" spans="2:6" x14ac:dyDescent="0.25">
      <c r="B133" s="12"/>
      <c r="C133" s="138">
        <f>SUMIFS(Table15[Qty],Table15[PRODUK],'Laba-Rugi'!B133)</f>
        <v>0</v>
      </c>
      <c r="D133" s="146">
        <f>_xlfn.XLOOKUP(B133,'Data Produk'!A:A,'Data Produk'!B:B)*C133*10^3</f>
        <v>0</v>
      </c>
      <c r="E133" s="141">
        <f>SUMIFS(Table15[Subtotal],Table15[PRODUK],'Laba-Rugi'!B133)</f>
        <v>0</v>
      </c>
      <c r="F133" s="142">
        <f t="shared" si="2"/>
        <v>0</v>
      </c>
    </row>
    <row r="134" spans="2:6" x14ac:dyDescent="0.25">
      <c r="B134" s="12"/>
      <c r="C134" s="138">
        <f>SUMIFS(Table15[Qty],Table15[PRODUK],'Laba-Rugi'!B134)</f>
        <v>0</v>
      </c>
      <c r="D134" s="146">
        <f>_xlfn.XLOOKUP(B134,'Data Produk'!A:A,'Data Produk'!B:B)*C134*10^3</f>
        <v>0</v>
      </c>
      <c r="E134" s="141">
        <f>SUMIFS(Table15[Subtotal],Table15[PRODUK],'Laba-Rugi'!B134)</f>
        <v>0</v>
      </c>
      <c r="F134" s="142">
        <f t="shared" si="2"/>
        <v>0</v>
      </c>
    </row>
    <row r="135" spans="2:6" x14ac:dyDescent="0.25">
      <c r="B135" s="12"/>
      <c r="C135" s="138">
        <f>SUMIFS(Table15[Qty],Table15[PRODUK],'Laba-Rugi'!B135)</f>
        <v>0</v>
      </c>
      <c r="D135" s="146">
        <f>_xlfn.XLOOKUP(B135,'Data Produk'!A:A,'Data Produk'!B:B)*C135*10^3</f>
        <v>0</v>
      </c>
      <c r="E135" s="141">
        <f>SUMIFS(Table15[Subtotal],Table15[PRODUK],'Laba-Rugi'!B135)</f>
        <v>0</v>
      </c>
      <c r="F135" s="142">
        <f t="shared" si="2"/>
        <v>0</v>
      </c>
    </row>
    <row r="136" spans="2:6" x14ac:dyDescent="0.25">
      <c r="B136" s="12"/>
      <c r="C136" s="138">
        <f>SUMIFS(Table15[Qty],Table15[PRODUK],'Laba-Rugi'!B136)</f>
        <v>0</v>
      </c>
      <c r="D136" s="146">
        <f>_xlfn.XLOOKUP(B136,'Data Produk'!A:A,'Data Produk'!B:B)*C136*10^3</f>
        <v>0</v>
      </c>
      <c r="E136" s="141">
        <f>SUMIFS(Table15[Subtotal],Table15[PRODUK],'Laba-Rugi'!B136)</f>
        <v>0</v>
      </c>
      <c r="F136" s="142">
        <f t="shared" si="2"/>
        <v>0</v>
      </c>
    </row>
    <row r="137" spans="2:6" x14ac:dyDescent="0.25">
      <c r="B137" s="12"/>
      <c r="C137" s="138">
        <f>SUMIFS(Table15[Qty],Table15[PRODUK],'Laba-Rugi'!B137)</f>
        <v>0</v>
      </c>
      <c r="D137" s="147">
        <f>_xlfn.XLOOKUP(B137,'Data Produk'!A:A,'Data Produk'!B:B)*C137*10^3</f>
        <v>0</v>
      </c>
      <c r="E137" s="143">
        <f>SUMIFS(Table15[Subtotal],Table15[PRODUK],'Laba-Rugi'!B137)</f>
        <v>0</v>
      </c>
      <c r="F137" s="144">
        <f t="shared" si="2"/>
        <v>0</v>
      </c>
    </row>
  </sheetData>
  <conditionalFormatting sqref="F1:F1048576">
    <cfRule type="top10" dxfId="11" priority="1" rank="3"/>
    <cfRule type="cellIs" dxfId="10" priority="2" operator="less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5A02F-5E22-44B7-9BDF-9428D2702F2F}">
  <sheetPr codeName="Sheet5">
    <tabColor rgb="FFFFFF00"/>
  </sheetPr>
  <dimension ref="B2:K103"/>
  <sheetViews>
    <sheetView showGridLines="0" zoomScaleNormal="100" workbookViewId="0">
      <selection activeCell="C7" sqref="C7"/>
    </sheetView>
  </sheetViews>
  <sheetFormatPr defaultRowHeight="15" x14ac:dyDescent="0.25"/>
  <cols>
    <col min="1" max="1" width="6.42578125" customWidth="1"/>
    <col min="2" max="2" width="17.28515625" customWidth="1"/>
    <col min="3" max="3" width="16.140625" style="10" customWidth="1"/>
    <col min="4" max="4" width="21" bestFit="1" customWidth="1"/>
    <col min="6" max="6" width="18.7109375" style="8" customWidth="1"/>
    <col min="7" max="7" width="4.140625" customWidth="1"/>
    <col min="8" max="8" width="20.28515625" customWidth="1"/>
    <col min="9" max="9" width="7.28515625" customWidth="1"/>
    <col min="10" max="10" width="18.7109375" customWidth="1"/>
    <col min="11" max="11" width="6.28515625" customWidth="1"/>
  </cols>
  <sheetData>
    <row r="2" spans="2:11" hidden="1" x14ac:dyDescent="0.25"/>
    <row r="3" spans="2:11" ht="29.25" x14ac:dyDescent="0.5">
      <c r="B3" s="6" t="s">
        <v>0</v>
      </c>
      <c r="F3"/>
      <c r="H3" s="96"/>
    </row>
    <row r="4" spans="2:11" x14ac:dyDescent="0.25">
      <c r="F4"/>
    </row>
    <row r="5" spans="2:11" x14ac:dyDescent="0.25">
      <c r="B5" s="26" t="s">
        <v>1</v>
      </c>
      <c r="C5" s="4">
        <f ca="1">TODAY()-3</f>
        <v>46255</v>
      </c>
      <c r="F5"/>
    </row>
    <row r="6" spans="2:11" x14ac:dyDescent="0.25">
      <c r="B6" s="5" t="s">
        <v>2</v>
      </c>
      <c r="C6" s="3"/>
      <c r="F6"/>
    </row>
    <row r="7" spans="2:11" ht="15.75" x14ac:dyDescent="0.25">
      <c r="B7" s="5" t="s">
        <v>4</v>
      </c>
      <c r="C7" s="92"/>
      <c r="E7" s="11" t="s">
        <v>6</v>
      </c>
      <c r="F7" s="22"/>
      <c r="J7" s="31" t="s">
        <v>7</v>
      </c>
      <c r="K7" s="16"/>
    </row>
    <row r="8" spans="2:11" x14ac:dyDescent="0.25">
      <c r="B8" s="5" t="s">
        <v>8</v>
      </c>
      <c r="C8" s="3"/>
      <c r="E8" s="11" t="s">
        <v>9</v>
      </c>
      <c r="F8" s="103">
        <f>SUMIFS(Table15[Subtotal],Table15[NAMA PEMBELI],VLOOKUP(F7,$J$9:$K$200,2,FALSE))</f>
        <v>0</v>
      </c>
      <c r="J8" s="17" t="s">
        <v>2</v>
      </c>
      <c r="K8" s="17" t="s">
        <v>10</v>
      </c>
    </row>
    <row r="9" spans="2:11" x14ac:dyDescent="0.25">
      <c r="B9" s="1"/>
      <c r="E9" s="2"/>
      <c r="F9" s="9"/>
      <c r="J9" s="12" t="str">
        <f>'Master Data'!AT13</f>
        <v>SIMO</v>
      </c>
      <c r="K9" s="12" t="str">
        <f>'Master Data'!AU13</f>
        <v>SIM</v>
      </c>
    </row>
    <row r="10" spans="2:11" s="7" customFormat="1" x14ac:dyDescent="0.25">
      <c r="B10" s="94" t="s">
        <v>11</v>
      </c>
      <c r="C10" s="94" t="s">
        <v>12</v>
      </c>
      <c r="D10" s="94" t="s">
        <v>13</v>
      </c>
      <c r="E10" s="94" t="s">
        <v>8</v>
      </c>
      <c r="F10" s="94" t="s">
        <v>14</v>
      </c>
      <c r="G10" s="21"/>
      <c r="J10" s="12" t="str">
        <f>'Master Data'!AT14</f>
        <v>NUR DOLLY</v>
      </c>
      <c r="K10" s="12" t="str">
        <f>'Master Data'!AU14</f>
        <v>NDL</v>
      </c>
    </row>
    <row r="11" spans="2:11" x14ac:dyDescent="0.25">
      <c r="B11" s="93">
        <v>46240</v>
      </c>
      <c r="C11" s="7" t="s">
        <v>3</v>
      </c>
      <c r="D11" s="7" t="s">
        <v>15</v>
      </c>
      <c r="E11" s="2">
        <v>1</v>
      </c>
      <c r="F11"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68000</v>
      </c>
      <c r="G11" s="27"/>
      <c r="J11" s="12" t="str">
        <f>'Master Data'!AT15</f>
        <v>ADEK HILMIA</v>
      </c>
      <c r="K11" s="12" t="str">
        <f>'Master Data'!AU15</f>
        <v>AHL</v>
      </c>
    </row>
    <row r="12" spans="2:11" x14ac:dyDescent="0.25">
      <c r="B12" s="93">
        <v>46240</v>
      </c>
      <c r="C12" s="7" t="s">
        <v>16</v>
      </c>
      <c r="D12" s="7" t="s">
        <v>17</v>
      </c>
      <c r="E12" s="2">
        <v>1</v>
      </c>
      <c r="F12"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70000</v>
      </c>
      <c r="G12" s="27"/>
      <c r="J12" s="12" t="str">
        <f>'Master Data'!AT16</f>
        <v xml:space="preserve">UMIK </v>
      </c>
      <c r="K12" s="12" t="str">
        <f>'Master Data'!AU16</f>
        <v>UMK</v>
      </c>
    </row>
    <row r="13" spans="2:11" x14ac:dyDescent="0.25">
      <c r="B13" s="93">
        <v>46240</v>
      </c>
      <c r="C13" s="7" t="s">
        <v>16</v>
      </c>
      <c r="D13" s="7" t="s">
        <v>18</v>
      </c>
      <c r="E13" s="2">
        <v>2</v>
      </c>
      <c r="F13"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170000</v>
      </c>
      <c r="G13" s="27"/>
      <c r="J13" s="12" t="str">
        <f>'Master Data'!AT17</f>
        <v xml:space="preserve">RONI </v>
      </c>
      <c r="K13" s="12" t="str">
        <f>'Master Data'!AU17</f>
        <v>RNI</v>
      </c>
    </row>
    <row r="14" spans="2:11" x14ac:dyDescent="0.25">
      <c r="B14" s="93">
        <v>46240</v>
      </c>
      <c r="C14" s="7" t="s">
        <v>16</v>
      </c>
      <c r="D14" s="7" t="s">
        <v>19</v>
      </c>
      <c r="E14" s="2">
        <v>4</v>
      </c>
      <c r="F14"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292000</v>
      </c>
      <c r="G14" s="27"/>
      <c r="J14" s="12" t="str">
        <f>'Master Data'!AT18</f>
        <v>AZMI</v>
      </c>
      <c r="K14" s="12" t="str">
        <f>'Master Data'!AU18</f>
        <v>AZM</v>
      </c>
    </row>
    <row r="15" spans="2:11" x14ac:dyDescent="0.25">
      <c r="B15" s="93">
        <v>46240</v>
      </c>
      <c r="C15" s="7" t="s">
        <v>16</v>
      </c>
      <c r="D15" s="7" t="s">
        <v>20</v>
      </c>
      <c r="E15" s="2">
        <v>2</v>
      </c>
      <c r="F15"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150000</v>
      </c>
      <c r="G15" s="27"/>
      <c r="J15" s="12" t="str">
        <f>'Master Data'!AT19</f>
        <v>WONOKROMO</v>
      </c>
      <c r="K15" s="12" t="str">
        <f>'Master Data'!AU19</f>
        <v>WNK</v>
      </c>
    </row>
    <row r="16" spans="2:11" x14ac:dyDescent="0.25">
      <c r="B16" s="93">
        <v>46240</v>
      </c>
      <c r="C16" s="7" t="s">
        <v>16</v>
      </c>
      <c r="D16" s="7" t="s">
        <v>21</v>
      </c>
      <c r="E16" s="2">
        <v>2</v>
      </c>
      <c r="F16"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150000</v>
      </c>
      <c r="G16" s="27"/>
      <c r="J16" s="12" t="str">
        <f>'Master Data'!AT20</f>
        <v>CHAN SMOKE</v>
      </c>
      <c r="K16" s="12" t="str">
        <f>'Master Data'!AU20</f>
        <v>CSM</v>
      </c>
    </row>
    <row r="17" spans="2:11" x14ac:dyDescent="0.25">
      <c r="B17" s="93">
        <v>46240</v>
      </c>
      <c r="C17" s="7" t="s">
        <v>16</v>
      </c>
      <c r="D17" s="7" t="s">
        <v>22</v>
      </c>
      <c r="E17" s="2">
        <v>2</v>
      </c>
      <c r="F17"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194000</v>
      </c>
      <c r="J17" s="12" t="str">
        <f>'Master Data'!AT21</f>
        <v xml:space="preserve">LUKMAN </v>
      </c>
      <c r="K17" s="12" t="str">
        <f>'Master Data'!AU21</f>
        <v>LKM</v>
      </c>
    </row>
    <row r="18" spans="2:11" x14ac:dyDescent="0.25">
      <c r="B18" s="93">
        <v>46240</v>
      </c>
      <c r="C18" s="7" t="s">
        <v>16</v>
      </c>
      <c r="D18" s="7" t="s">
        <v>23</v>
      </c>
      <c r="E18" s="2">
        <v>2</v>
      </c>
      <c r="F18"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166000</v>
      </c>
      <c r="J18" s="12">
        <f>'Master Data'!AT22</f>
        <v>0</v>
      </c>
      <c r="K18" s="12">
        <f>'Master Data'!AU22</f>
        <v>0</v>
      </c>
    </row>
    <row r="19" spans="2:11" x14ac:dyDescent="0.25">
      <c r="B19" s="93">
        <v>46240</v>
      </c>
      <c r="C19" s="7" t="s">
        <v>16</v>
      </c>
      <c r="D19" s="7" t="s">
        <v>24</v>
      </c>
      <c r="E19" s="2">
        <v>5</v>
      </c>
      <c r="F19"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485000</v>
      </c>
      <c r="J19" s="12">
        <f>'Master Data'!AT23</f>
        <v>0</v>
      </c>
      <c r="K19" s="12">
        <f>'Master Data'!AU23</f>
        <v>0</v>
      </c>
    </row>
    <row r="20" spans="2:11" x14ac:dyDescent="0.25">
      <c r="B20" s="93">
        <v>46240</v>
      </c>
      <c r="C20" s="7" t="s">
        <v>16</v>
      </c>
      <c r="D20" s="7" t="s">
        <v>25</v>
      </c>
      <c r="E20" s="2">
        <v>2</v>
      </c>
      <c r="F20"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194000</v>
      </c>
      <c r="J20" s="12" t="str">
        <f>'Master Data'!AT24</f>
        <v>TEGUH</v>
      </c>
      <c r="K20" s="12" t="str">
        <f>'Master Data'!AU24</f>
        <v>TGH</v>
      </c>
    </row>
    <row r="21" spans="2:11" x14ac:dyDescent="0.25">
      <c r="B21" s="93">
        <v>46240</v>
      </c>
      <c r="C21" s="7" t="s">
        <v>16</v>
      </c>
      <c r="D21" s="7" t="s">
        <v>26</v>
      </c>
      <c r="E21" s="2">
        <v>2</v>
      </c>
      <c r="F21"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170000</v>
      </c>
      <c r="J21" s="12" t="str">
        <f>'Master Data'!AT25</f>
        <v xml:space="preserve">AMBON </v>
      </c>
      <c r="K21" s="12" t="str">
        <f>'Master Data'!AU25</f>
        <v>AMB</v>
      </c>
    </row>
    <row r="22" spans="2:11" x14ac:dyDescent="0.25">
      <c r="B22" s="93">
        <v>46240</v>
      </c>
      <c r="C22" s="7" t="s">
        <v>16</v>
      </c>
      <c r="D22" s="7" t="s">
        <v>27</v>
      </c>
      <c r="E22" s="2">
        <v>5</v>
      </c>
      <c r="F22"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350000</v>
      </c>
      <c r="J22" s="12" t="str">
        <f>'Master Data'!AT26</f>
        <v>SEKOLILO DEPAN</v>
      </c>
      <c r="K22" s="12" t="str">
        <f>'Master Data'!AU26</f>
        <v>SKD</v>
      </c>
    </row>
    <row r="23" spans="2:11" x14ac:dyDescent="0.25">
      <c r="B23" s="93">
        <v>46240</v>
      </c>
      <c r="C23" s="7" t="s">
        <v>28</v>
      </c>
      <c r="D23" s="7" t="s">
        <v>29</v>
      </c>
      <c r="E23" s="2">
        <v>1</v>
      </c>
      <c r="F23"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83000</v>
      </c>
      <c r="J23" s="12" t="str">
        <f>'Master Data'!AT27</f>
        <v xml:space="preserve">PUTAR BALIK </v>
      </c>
      <c r="K23" s="12" t="str">
        <f>'Master Data'!AU27</f>
        <v>PTB</v>
      </c>
    </row>
    <row r="24" spans="2:11" x14ac:dyDescent="0.25">
      <c r="B24" s="93">
        <v>46240</v>
      </c>
      <c r="C24" s="7" t="s">
        <v>28</v>
      </c>
      <c r="D24" s="7" t="s">
        <v>30</v>
      </c>
      <c r="E24" s="2">
        <v>1</v>
      </c>
      <c r="F24"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115000</v>
      </c>
      <c r="J24" s="12" t="str">
        <f>'Master Data'!AT28</f>
        <v xml:space="preserve">GERSIK </v>
      </c>
      <c r="K24" s="12" t="str">
        <f>'Master Data'!AU28</f>
        <v>GRS</v>
      </c>
    </row>
    <row r="25" spans="2:11" x14ac:dyDescent="0.25">
      <c r="B25" s="93">
        <v>46240</v>
      </c>
      <c r="C25" s="7" t="s">
        <v>28</v>
      </c>
      <c r="D25" s="7" t="s">
        <v>31</v>
      </c>
      <c r="E25" s="2">
        <v>2</v>
      </c>
      <c r="F25"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150000</v>
      </c>
      <c r="J25" s="12" t="str">
        <f>'Master Data'!AT29</f>
        <v>YADI</v>
      </c>
      <c r="K25" s="12" t="str">
        <f>'Master Data'!AU29</f>
        <v>YDI</v>
      </c>
    </row>
    <row r="26" spans="2:11" x14ac:dyDescent="0.25">
      <c r="B26" s="93">
        <v>46240</v>
      </c>
      <c r="C26" s="7" t="s">
        <v>28</v>
      </c>
      <c r="D26" s="7" t="s">
        <v>18</v>
      </c>
      <c r="E26" s="2">
        <v>1</v>
      </c>
      <c r="F26"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85000</v>
      </c>
      <c r="J26" s="12" t="str">
        <f>'Master Data'!AT30</f>
        <v>WAHYU</v>
      </c>
      <c r="K26" s="12" t="str">
        <f>'Master Data'!AU30</f>
        <v>WHY</v>
      </c>
    </row>
    <row r="27" spans="2:11" x14ac:dyDescent="0.25">
      <c r="B27" s="93">
        <v>46240</v>
      </c>
      <c r="C27" s="7" t="s">
        <v>32</v>
      </c>
      <c r="D27" s="7" t="s">
        <v>26</v>
      </c>
      <c r="E27" s="2">
        <v>1</v>
      </c>
      <c r="F27"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82000</v>
      </c>
      <c r="J27" s="12" t="str">
        <f>'Master Data'!AT31</f>
        <v>MUJI</v>
      </c>
      <c r="K27" s="12" t="str">
        <f>'Master Data'!AU31</f>
        <v>MJI</v>
      </c>
    </row>
    <row r="28" spans="2:11" x14ac:dyDescent="0.25">
      <c r="B28" s="93">
        <v>46240</v>
      </c>
      <c r="C28" s="7" t="s">
        <v>32</v>
      </c>
      <c r="D28" s="7" t="s">
        <v>18</v>
      </c>
      <c r="E28" s="2">
        <v>1</v>
      </c>
      <c r="F28"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82000</v>
      </c>
      <c r="J28" s="12">
        <f>'Master Data'!AT32</f>
        <v>0</v>
      </c>
      <c r="K28" s="12">
        <f>'Master Data'!AU32</f>
        <v>0</v>
      </c>
    </row>
    <row r="29" spans="2:11" x14ac:dyDescent="0.25">
      <c r="B29" s="93">
        <v>46240</v>
      </c>
      <c r="C29" s="7" t="s">
        <v>32</v>
      </c>
      <c r="D29" s="7" t="s">
        <v>33</v>
      </c>
      <c r="E29" s="2">
        <v>2</v>
      </c>
      <c r="F29"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166000</v>
      </c>
      <c r="J29" s="12">
        <f>'Master Data'!AT33</f>
        <v>0</v>
      </c>
      <c r="K29" s="12">
        <f>'Master Data'!AU33</f>
        <v>0</v>
      </c>
    </row>
    <row r="30" spans="2:11" x14ac:dyDescent="0.25">
      <c r="B30" s="93">
        <v>46240</v>
      </c>
      <c r="C30" s="7" t="s">
        <v>32</v>
      </c>
      <c r="D30" s="7" t="s">
        <v>34</v>
      </c>
      <c r="E30" s="2">
        <v>1</v>
      </c>
      <c r="F30"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95000</v>
      </c>
      <c r="J30" s="12">
        <f>'Master Data'!AT34</f>
        <v>0</v>
      </c>
      <c r="K30" s="12">
        <f>'Master Data'!AU34</f>
        <v>0</v>
      </c>
    </row>
    <row r="31" spans="2:11" x14ac:dyDescent="0.25">
      <c r="B31" s="93">
        <v>46240</v>
      </c>
      <c r="C31" s="7" t="s">
        <v>32</v>
      </c>
      <c r="D31" s="7" t="s">
        <v>22</v>
      </c>
      <c r="E31" s="2">
        <v>1</v>
      </c>
      <c r="F31"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95000</v>
      </c>
      <c r="J31" s="12">
        <f>'Master Data'!AT35</f>
        <v>0</v>
      </c>
      <c r="K31" s="12">
        <f>'Master Data'!AU35</f>
        <v>0</v>
      </c>
    </row>
    <row r="32" spans="2:11" x14ac:dyDescent="0.25">
      <c r="B32" s="93">
        <v>46240</v>
      </c>
      <c r="C32" s="7" t="s">
        <v>32</v>
      </c>
      <c r="D32" s="7" t="s">
        <v>24</v>
      </c>
      <c r="E32" s="2">
        <v>1</v>
      </c>
      <c r="F32"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95000</v>
      </c>
      <c r="J32" s="12">
        <f>'Master Data'!AT36</f>
        <v>0</v>
      </c>
      <c r="K32" s="12">
        <f>'Master Data'!AU36</f>
        <v>0</v>
      </c>
    </row>
    <row r="33" spans="2:11" x14ac:dyDescent="0.25">
      <c r="B33" s="93">
        <v>46240</v>
      </c>
      <c r="C33" s="7" t="s">
        <v>32</v>
      </c>
      <c r="D33" s="7" t="s">
        <v>22</v>
      </c>
      <c r="E33" s="2">
        <v>1</v>
      </c>
      <c r="F33"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95000</v>
      </c>
      <c r="J33" s="12">
        <f>'Master Data'!AT37</f>
        <v>0</v>
      </c>
      <c r="K33" s="12">
        <f>'Master Data'!AU37</f>
        <v>0</v>
      </c>
    </row>
    <row r="34" spans="2:11" x14ac:dyDescent="0.25">
      <c r="B34" s="93">
        <v>46240</v>
      </c>
      <c r="C34" s="7" t="s">
        <v>32</v>
      </c>
      <c r="D34" s="7" t="s">
        <v>24</v>
      </c>
      <c r="E34" s="2">
        <v>1</v>
      </c>
      <c r="F34"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95000</v>
      </c>
      <c r="J34" s="12">
        <f>'Master Data'!AT38</f>
        <v>0</v>
      </c>
      <c r="K34" s="12">
        <f>'Master Data'!AU38</f>
        <v>0</v>
      </c>
    </row>
    <row r="35" spans="2:11" x14ac:dyDescent="0.25">
      <c r="B35" s="93">
        <v>46240</v>
      </c>
      <c r="C35" s="7" t="s">
        <v>32</v>
      </c>
      <c r="D35" s="7" t="s">
        <v>26</v>
      </c>
      <c r="E35" s="2">
        <v>1</v>
      </c>
      <c r="F35"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82000</v>
      </c>
      <c r="J35" s="12">
        <f>'Master Data'!AT39</f>
        <v>0</v>
      </c>
      <c r="K35" s="12">
        <f>'Master Data'!AU39</f>
        <v>0</v>
      </c>
    </row>
    <row r="36" spans="2:11" x14ac:dyDescent="0.25">
      <c r="B36" s="93">
        <v>46240</v>
      </c>
      <c r="C36" s="7" t="s">
        <v>32</v>
      </c>
      <c r="D36" s="7" t="s">
        <v>18</v>
      </c>
      <c r="E36" s="2">
        <v>1</v>
      </c>
      <c r="F36"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82000</v>
      </c>
      <c r="J36" s="12">
        <f>'Master Data'!AT40</f>
        <v>0</v>
      </c>
      <c r="K36" s="12">
        <f>'Master Data'!AU40</f>
        <v>0</v>
      </c>
    </row>
    <row r="37" spans="2:11" x14ac:dyDescent="0.25">
      <c r="B37" s="93">
        <v>46240</v>
      </c>
      <c r="C37" s="7" t="s">
        <v>32</v>
      </c>
      <c r="D37" s="7" t="s">
        <v>34</v>
      </c>
      <c r="E37" s="2">
        <v>2</v>
      </c>
      <c r="F37"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190000</v>
      </c>
      <c r="J37" s="12">
        <f>'Master Data'!AT41</f>
        <v>0</v>
      </c>
      <c r="K37" s="12">
        <f>'Master Data'!AU41</f>
        <v>0</v>
      </c>
    </row>
    <row r="38" spans="2:11" x14ac:dyDescent="0.25">
      <c r="B38" s="93">
        <v>46240</v>
      </c>
      <c r="C38" s="7" t="s">
        <v>32</v>
      </c>
      <c r="D38" s="7" t="s">
        <v>35</v>
      </c>
      <c r="E38" s="2">
        <v>1</v>
      </c>
      <c r="F38"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63000</v>
      </c>
      <c r="J38" s="12">
        <f>'Master Data'!AT42</f>
        <v>0</v>
      </c>
      <c r="K38" s="12">
        <f>'Master Data'!AU42</f>
        <v>0</v>
      </c>
    </row>
    <row r="39" spans="2:11" x14ac:dyDescent="0.25">
      <c r="B39" s="93">
        <v>46240</v>
      </c>
      <c r="C39" s="7" t="s">
        <v>32</v>
      </c>
      <c r="D39" s="7" t="s">
        <v>36</v>
      </c>
      <c r="E39" s="2">
        <v>2</v>
      </c>
      <c r="F39"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126000</v>
      </c>
      <c r="J39" s="12">
        <f>'Master Data'!AT43</f>
        <v>0</v>
      </c>
      <c r="K39" s="12">
        <f>'Master Data'!AU43</f>
        <v>0</v>
      </c>
    </row>
    <row r="40" spans="2:11" x14ac:dyDescent="0.25">
      <c r="B40" s="93">
        <v>46240</v>
      </c>
      <c r="C40" s="7" t="s">
        <v>32</v>
      </c>
      <c r="D40" s="7" t="s">
        <v>21</v>
      </c>
      <c r="E40" s="2">
        <v>7</v>
      </c>
      <c r="F40"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525000</v>
      </c>
      <c r="J40" s="12">
        <f>'Master Data'!AT44</f>
        <v>0</v>
      </c>
      <c r="K40" s="12">
        <f>'Master Data'!AU44</f>
        <v>0</v>
      </c>
    </row>
    <row r="41" spans="2:11" x14ac:dyDescent="0.25">
      <c r="B41" s="93">
        <v>46240</v>
      </c>
      <c r="C41" s="7" t="s">
        <v>32</v>
      </c>
      <c r="D41" s="7" t="s">
        <v>21</v>
      </c>
      <c r="E41" s="2">
        <v>5</v>
      </c>
      <c r="F41"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375000</v>
      </c>
      <c r="J41" s="12">
        <f>'Master Data'!AT45</f>
        <v>0</v>
      </c>
      <c r="K41" s="12">
        <f>'Master Data'!AU45</f>
        <v>0</v>
      </c>
    </row>
    <row r="42" spans="2:11" x14ac:dyDescent="0.25">
      <c r="B42" s="93">
        <v>46240</v>
      </c>
      <c r="C42" s="7" t="s">
        <v>32</v>
      </c>
      <c r="D42" s="7" t="s">
        <v>36</v>
      </c>
      <c r="E42" s="2">
        <v>5</v>
      </c>
      <c r="F42"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315000</v>
      </c>
      <c r="J42" s="12">
        <f>'Master Data'!AT46</f>
        <v>0</v>
      </c>
      <c r="K42" s="12">
        <f>'Master Data'!AU46</f>
        <v>0</v>
      </c>
    </row>
    <row r="43" spans="2:11" x14ac:dyDescent="0.25">
      <c r="B43" s="93">
        <v>46240</v>
      </c>
      <c r="C43" s="7" t="s">
        <v>32</v>
      </c>
      <c r="D43" s="7" t="s">
        <v>37</v>
      </c>
      <c r="E43" s="2">
        <v>5</v>
      </c>
      <c r="F43"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365000</v>
      </c>
      <c r="J43" s="12">
        <f>'Master Data'!AT47</f>
        <v>0</v>
      </c>
      <c r="K43" s="12">
        <f>'Master Data'!AU47</f>
        <v>0</v>
      </c>
    </row>
    <row r="44" spans="2:11" x14ac:dyDescent="0.25">
      <c r="B44" s="93">
        <v>46240</v>
      </c>
      <c r="C44" s="7" t="s">
        <v>38</v>
      </c>
      <c r="D44" s="7" t="s">
        <v>27</v>
      </c>
      <c r="E44" s="2">
        <v>4</v>
      </c>
      <c r="F44"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280000</v>
      </c>
      <c r="J44" s="12">
        <f>'Master Data'!AT48</f>
        <v>0</v>
      </c>
      <c r="K44" s="12">
        <f>'Master Data'!AU48</f>
        <v>0</v>
      </c>
    </row>
    <row r="45" spans="2:11" x14ac:dyDescent="0.25">
      <c r="B45" s="93">
        <v>46240</v>
      </c>
      <c r="C45" s="7" t="s">
        <v>38</v>
      </c>
      <c r="D45" s="7" t="s">
        <v>39</v>
      </c>
      <c r="E45" s="2">
        <v>2</v>
      </c>
      <c r="F45"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160000</v>
      </c>
      <c r="J45" s="12">
        <f>'Master Data'!AT49</f>
        <v>0</v>
      </c>
      <c r="K45" s="12">
        <f>'Master Data'!AU49</f>
        <v>0</v>
      </c>
    </row>
    <row r="46" spans="2:11" x14ac:dyDescent="0.25">
      <c r="B46" s="93">
        <v>46240</v>
      </c>
      <c r="C46" s="7" t="s">
        <v>38</v>
      </c>
      <c r="D46" s="7" t="s">
        <v>34</v>
      </c>
      <c r="E46" s="2">
        <v>2</v>
      </c>
      <c r="F46"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190000</v>
      </c>
      <c r="J46" s="12">
        <f>'Master Data'!AT50</f>
        <v>0</v>
      </c>
      <c r="K46" s="12">
        <f>'Master Data'!AU50</f>
        <v>0</v>
      </c>
    </row>
    <row r="47" spans="2:11" x14ac:dyDescent="0.25">
      <c r="B47" s="93">
        <v>46240</v>
      </c>
      <c r="C47" s="7" t="s">
        <v>40</v>
      </c>
      <c r="D47" s="7" t="s">
        <v>25</v>
      </c>
      <c r="E47" s="2">
        <v>5</v>
      </c>
      <c r="F47"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485000</v>
      </c>
      <c r="J47" s="12">
        <f>'Master Data'!AT51</f>
        <v>0</v>
      </c>
      <c r="K47" s="12">
        <f>'Master Data'!AU51</f>
        <v>0</v>
      </c>
    </row>
    <row r="48" spans="2:11" x14ac:dyDescent="0.25">
      <c r="B48" s="93">
        <v>46240</v>
      </c>
      <c r="C48" s="7" t="s">
        <v>41</v>
      </c>
      <c r="D48" s="7" t="s">
        <v>34</v>
      </c>
      <c r="E48" s="2">
        <v>10</v>
      </c>
      <c r="F48"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950000</v>
      </c>
      <c r="J48" s="12">
        <f>'Master Data'!AT52</f>
        <v>0</v>
      </c>
      <c r="K48" s="12">
        <f>'Master Data'!AU52</f>
        <v>0</v>
      </c>
    </row>
    <row r="49" spans="2:11" x14ac:dyDescent="0.25">
      <c r="B49" s="93">
        <v>46240</v>
      </c>
      <c r="C49" s="7" t="s">
        <v>42</v>
      </c>
      <c r="D49" s="7" t="s">
        <v>43</v>
      </c>
      <c r="E49" s="2">
        <v>2</v>
      </c>
      <c r="F49"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174000</v>
      </c>
      <c r="J49" s="12">
        <f>'Master Data'!AT53</f>
        <v>0</v>
      </c>
      <c r="K49" s="12">
        <f>'Master Data'!AU53</f>
        <v>0</v>
      </c>
    </row>
    <row r="50" spans="2:11" x14ac:dyDescent="0.25">
      <c r="B50" s="93">
        <v>46240</v>
      </c>
      <c r="C50" s="7" t="s">
        <v>42</v>
      </c>
      <c r="D50" s="7" t="s">
        <v>44</v>
      </c>
      <c r="E50" s="2">
        <v>1</v>
      </c>
      <c r="F50"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87000</v>
      </c>
      <c r="J50" s="12">
        <f>'Master Data'!AT54</f>
        <v>0</v>
      </c>
      <c r="K50" s="12">
        <f>'Master Data'!AU54</f>
        <v>0</v>
      </c>
    </row>
    <row r="51" spans="2:11" x14ac:dyDescent="0.25">
      <c r="B51" s="93">
        <v>46240</v>
      </c>
      <c r="C51" s="7" t="s">
        <v>42</v>
      </c>
      <c r="D51" s="7" t="s">
        <v>45</v>
      </c>
      <c r="E51" s="2">
        <v>2</v>
      </c>
      <c r="F51"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174000</v>
      </c>
      <c r="J51" s="12">
        <f>'Master Data'!AT55</f>
        <v>0</v>
      </c>
      <c r="K51" s="12">
        <f>'Master Data'!AU55</f>
        <v>0</v>
      </c>
    </row>
    <row r="52" spans="2:11" x14ac:dyDescent="0.25">
      <c r="B52" s="93">
        <v>46240</v>
      </c>
      <c r="C52" s="7" t="s">
        <v>42</v>
      </c>
      <c r="D52" s="7" t="s">
        <v>25</v>
      </c>
      <c r="E52" s="2">
        <v>2</v>
      </c>
      <c r="F52"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194000</v>
      </c>
      <c r="J52" s="12">
        <f>'Master Data'!AT56</f>
        <v>0</v>
      </c>
      <c r="K52" s="12">
        <f>'Master Data'!AU56</f>
        <v>0</v>
      </c>
    </row>
    <row r="53" spans="2:11" x14ac:dyDescent="0.25">
      <c r="B53" s="93">
        <v>46240</v>
      </c>
      <c r="C53" s="7" t="s">
        <v>46</v>
      </c>
      <c r="D53" s="7" t="s">
        <v>43</v>
      </c>
      <c r="E53" s="2">
        <v>3</v>
      </c>
      <c r="F53"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261000</v>
      </c>
      <c r="J53" s="12">
        <f>'Master Data'!AT57</f>
        <v>0</v>
      </c>
      <c r="K53" s="12">
        <f>'Master Data'!AU57</f>
        <v>0</v>
      </c>
    </row>
    <row r="54" spans="2:11" x14ac:dyDescent="0.25">
      <c r="B54" s="93">
        <v>46240</v>
      </c>
      <c r="C54" s="7" t="s">
        <v>46</v>
      </c>
      <c r="D54" s="7" t="s">
        <v>44</v>
      </c>
      <c r="E54" s="2">
        <v>3</v>
      </c>
      <c r="F54"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261000</v>
      </c>
      <c r="J54" s="12">
        <f>'Master Data'!AT58</f>
        <v>0</v>
      </c>
      <c r="K54" s="12">
        <f>'Master Data'!AU58</f>
        <v>0</v>
      </c>
    </row>
    <row r="55" spans="2:11" x14ac:dyDescent="0.25">
      <c r="B55" s="93">
        <v>46240</v>
      </c>
      <c r="C55" s="7" t="s">
        <v>46</v>
      </c>
      <c r="D55" s="7" t="s">
        <v>45</v>
      </c>
      <c r="E55" s="2">
        <v>3</v>
      </c>
      <c r="F55"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261000</v>
      </c>
      <c r="J55" s="12">
        <f>'Master Data'!AT59</f>
        <v>0</v>
      </c>
      <c r="K55" s="12">
        <f>'Master Data'!AU59</f>
        <v>0</v>
      </c>
    </row>
    <row r="56" spans="2:11" x14ac:dyDescent="0.25">
      <c r="B56" s="93">
        <v>46240</v>
      </c>
      <c r="C56" s="7" t="s">
        <v>46</v>
      </c>
      <c r="D56" s="7" t="s">
        <v>18</v>
      </c>
      <c r="E56" s="2">
        <v>5</v>
      </c>
      <c r="F56"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415000</v>
      </c>
      <c r="J56" s="12">
        <f>'Master Data'!AT60</f>
        <v>0</v>
      </c>
      <c r="K56" s="12">
        <f>'Master Data'!AU60</f>
        <v>0</v>
      </c>
    </row>
    <row r="57" spans="2:11" x14ac:dyDescent="0.25">
      <c r="B57" s="93">
        <v>46240</v>
      </c>
      <c r="C57" s="7" t="s">
        <v>46</v>
      </c>
      <c r="D57" s="7" t="s">
        <v>29</v>
      </c>
      <c r="E57" s="2">
        <v>20</v>
      </c>
      <c r="F57"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1600000</v>
      </c>
      <c r="J57" s="12">
        <f>'Master Data'!AT61</f>
        <v>0</v>
      </c>
      <c r="K57" s="12">
        <f>'Master Data'!AU61</f>
        <v>0</v>
      </c>
    </row>
    <row r="58" spans="2:11" x14ac:dyDescent="0.25">
      <c r="B58" s="93">
        <v>46240</v>
      </c>
      <c r="C58" s="7" t="s">
        <v>46</v>
      </c>
      <c r="D58" s="7" t="s">
        <v>19</v>
      </c>
      <c r="E58" s="2">
        <v>40</v>
      </c>
      <c r="F58"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2800000</v>
      </c>
      <c r="J58" s="12">
        <f>'Master Data'!AT62</f>
        <v>0</v>
      </c>
      <c r="K58" s="12">
        <f>'Master Data'!AU62</f>
        <v>0</v>
      </c>
    </row>
    <row r="59" spans="2:11" x14ac:dyDescent="0.25">
      <c r="B59" s="93">
        <v>46240</v>
      </c>
      <c r="C59" s="7" t="s">
        <v>47</v>
      </c>
      <c r="D59" s="7" t="s">
        <v>29</v>
      </c>
      <c r="E59" s="2">
        <v>6</v>
      </c>
      <c r="F59"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498000</v>
      </c>
    </row>
    <row r="60" spans="2:11" x14ac:dyDescent="0.25">
      <c r="B60" s="93">
        <v>46240</v>
      </c>
      <c r="C60" s="7" t="s">
        <v>47</v>
      </c>
      <c r="D60" s="7" t="s">
        <v>27</v>
      </c>
      <c r="E60" s="2">
        <v>10</v>
      </c>
      <c r="F60"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700000</v>
      </c>
    </row>
    <row r="61" spans="2:11" x14ac:dyDescent="0.25">
      <c r="B61" s="93">
        <v>46240</v>
      </c>
      <c r="C61" s="7" t="s">
        <v>47</v>
      </c>
      <c r="D61" s="7" t="s">
        <v>35</v>
      </c>
      <c r="E61" s="2">
        <v>10</v>
      </c>
      <c r="F61"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630000</v>
      </c>
    </row>
    <row r="62" spans="2:11" x14ac:dyDescent="0.25">
      <c r="B62" s="93">
        <v>46240</v>
      </c>
      <c r="C62" s="7" t="s">
        <v>47</v>
      </c>
      <c r="D62" s="7" t="s">
        <v>48</v>
      </c>
      <c r="E62" s="2">
        <v>10</v>
      </c>
      <c r="F62"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950000</v>
      </c>
    </row>
    <row r="63" spans="2:11" x14ac:dyDescent="0.25">
      <c r="B63" s="93">
        <v>46240</v>
      </c>
      <c r="C63" s="7" t="s">
        <v>47</v>
      </c>
      <c r="D63" s="7" t="s">
        <v>49</v>
      </c>
      <c r="E63" s="2">
        <v>10</v>
      </c>
      <c r="F63"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630000</v>
      </c>
    </row>
    <row r="64" spans="2:11" x14ac:dyDescent="0.25">
      <c r="B64" s="93">
        <v>46240</v>
      </c>
      <c r="C64" s="7" t="s">
        <v>47</v>
      </c>
      <c r="D64" s="7" t="s">
        <v>50</v>
      </c>
      <c r="E64" s="2">
        <v>8</v>
      </c>
      <c r="F64"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504000</v>
      </c>
    </row>
    <row r="65" spans="2:6" x14ac:dyDescent="0.25">
      <c r="B65" s="93">
        <v>46240</v>
      </c>
      <c r="C65" s="7" t="s">
        <v>47</v>
      </c>
      <c r="D65" s="7" t="s">
        <v>37</v>
      </c>
      <c r="E65" s="2">
        <v>5</v>
      </c>
      <c r="F65"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365000</v>
      </c>
    </row>
    <row r="66" spans="2:6" x14ac:dyDescent="0.25">
      <c r="B66" s="93">
        <v>46240</v>
      </c>
      <c r="C66" s="7" t="s">
        <v>38</v>
      </c>
      <c r="D66" s="7" t="s">
        <v>18</v>
      </c>
      <c r="E66" s="2">
        <v>20</v>
      </c>
      <c r="F66"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1630000</v>
      </c>
    </row>
    <row r="67" spans="2:6" x14ac:dyDescent="0.25">
      <c r="B67" s="93">
        <v>46240</v>
      </c>
      <c r="C67" s="7" t="s">
        <v>38</v>
      </c>
      <c r="D67" s="7" t="s">
        <v>51</v>
      </c>
      <c r="E67" s="2">
        <v>4</v>
      </c>
      <c r="F67"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248000</v>
      </c>
    </row>
    <row r="68" spans="2:6" x14ac:dyDescent="0.25">
      <c r="B68" s="93">
        <v>46240</v>
      </c>
      <c r="C68" s="7" t="s">
        <v>38</v>
      </c>
      <c r="D68" s="7" t="s">
        <v>52</v>
      </c>
      <c r="E68" s="2">
        <v>3</v>
      </c>
      <c r="F68"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225000</v>
      </c>
    </row>
    <row r="69" spans="2:6" x14ac:dyDescent="0.25">
      <c r="B69" s="93">
        <v>46240</v>
      </c>
      <c r="C69" s="7" t="s">
        <v>38</v>
      </c>
      <c r="D69" s="7" t="s">
        <v>19</v>
      </c>
      <c r="E69" s="2">
        <v>10</v>
      </c>
      <c r="F69"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730000</v>
      </c>
    </row>
    <row r="70" spans="2:6" x14ac:dyDescent="0.25">
      <c r="B70" s="93">
        <v>46240</v>
      </c>
      <c r="C70" s="7" t="s">
        <v>38</v>
      </c>
      <c r="D70" s="7" t="s">
        <v>50</v>
      </c>
      <c r="E70" s="2">
        <v>10</v>
      </c>
      <c r="F70"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630000</v>
      </c>
    </row>
    <row r="71" spans="2:6" x14ac:dyDescent="0.25">
      <c r="B71" s="93">
        <v>46240</v>
      </c>
      <c r="C71" s="7" t="s">
        <v>38</v>
      </c>
      <c r="D71" s="7" t="s">
        <v>37</v>
      </c>
      <c r="E71" s="2">
        <v>10</v>
      </c>
      <c r="F71"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720000</v>
      </c>
    </row>
    <row r="72" spans="2:6" x14ac:dyDescent="0.25">
      <c r="B72" s="93">
        <v>46240</v>
      </c>
      <c r="C72" s="7" t="s">
        <v>38</v>
      </c>
      <c r="D72" s="7" t="s">
        <v>53</v>
      </c>
      <c r="E72" s="2">
        <v>8</v>
      </c>
      <c r="F72"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760000</v>
      </c>
    </row>
    <row r="73" spans="2:6" x14ac:dyDescent="0.25">
      <c r="B73" s="93">
        <v>46240</v>
      </c>
      <c r="C73" s="7" t="s">
        <v>38</v>
      </c>
      <c r="D73" s="7" t="s">
        <v>48</v>
      </c>
      <c r="E73" s="2">
        <v>10</v>
      </c>
      <c r="F73"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930000</v>
      </c>
    </row>
    <row r="74" spans="2:6" x14ac:dyDescent="0.25">
      <c r="B74" s="93">
        <v>46240</v>
      </c>
      <c r="C74" s="7" t="s">
        <v>38</v>
      </c>
      <c r="D74" s="7" t="s">
        <v>24</v>
      </c>
      <c r="E74" s="2">
        <v>5</v>
      </c>
      <c r="F74"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475000</v>
      </c>
    </row>
    <row r="75" spans="2:6" x14ac:dyDescent="0.25">
      <c r="B75" s="93">
        <v>46240</v>
      </c>
      <c r="C75" s="7" t="s">
        <v>38</v>
      </c>
      <c r="D75" s="7" t="s">
        <v>23</v>
      </c>
      <c r="E75" s="2">
        <v>10</v>
      </c>
      <c r="F75"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800000</v>
      </c>
    </row>
    <row r="76" spans="2:6" x14ac:dyDescent="0.25">
      <c r="B76" s="93">
        <v>46240</v>
      </c>
      <c r="C76" s="7" t="s">
        <v>38</v>
      </c>
      <c r="D76" s="7" t="s">
        <v>54</v>
      </c>
      <c r="E76" s="2">
        <v>4</v>
      </c>
      <c r="F76"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388000</v>
      </c>
    </row>
    <row r="77" spans="2:6" x14ac:dyDescent="0.25">
      <c r="B77" s="93">
        <v>46240</v>
      </c>
      <c r="C77" s="7" t="s">
        <v>38</v>
      </c>
      <c r="D77" s="7" t="s">
        <v>25</v>
      </c>
      <c r="E77" s="2">
        <v>10</v>
      </c>
      <c r="F77"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925000</v>
      </c>
    </row>
    <row r="78" spans="2:6" x14ac:dyDescent="0.25">
      <c r="B78" s="93">
        <v>46240</v>
      </c>
      <c r="C78" s="7" t="s">
        <v>38</v>
      </c>
      <c r="D78" s="7" t="s">
        <v>5</v>
      </c>
      <c r="E78" s="2">
        <v>9</v>
      </c>
      <c r="F78"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783000</v>
      </c>
    </row>
    <row r="79" spans="2:6" x14ac:dyDescent="0.25">
      <c r="B79" s="93">
        <v>46240</v>
      </c>
      <c r="C79" s="7" t="s">
        <v>55</v>
      </c>
      <c r="D79" s="7" t="s">
        <v>19</v>
      </c>
      <c r="E79" s="2">
        <v>40</v>
      </c>
      <c r="F79"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2800000</v>
      </c>
    </row>
    <row r="80" spans="2:6" x14ac:dyDescent="0.25">
      <c r="B80" s="93">
        <v>46240</v>
      </c>
      <c r="C80" s="7" t="s">
        <v>55</v>
      </c>
      <c r="D80" s="7" t="s">
        <v>35</v>
      </c>
      <c r="E80" s="2">
        <v>20</v>
      </c>
      <c r="F80"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1240000</v>
      </c>
    </row>
    <row r="81" spans="2:6" x14ac:dyDescent="0.25">
      <c r="B81" s="93">
        <v>46240</v>
      </c>
      <c r="C81" s="7" t="s">
        <v>55</v>
      </c>
      <c r="D81" s="7" t="s">
        <v>25</v>
      </c>
      <c r="E81" s="2">
        <v>40</v>
      </c>
      <c r="F81"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3800000</v>
      </c>
    </row>
    <row r="82" spans="2:6" x14ac:dyDescent="0.25">
      <c r="B82" s="93">
        <v>46240</v>
      </c>
      <c r="C82" s="7" t="s">
        <v>55</v>
      </c>
      <c r="D82" s="7" t="s">
        <v>48</v>
      </c>
      <c r="E82" s="2">
        <v>20</v>
      </c>
      <c r="F82"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1860000</v>
      </c>
    </row>
    <row r="83" spans="2:6" x14ac:dyDescent="0.25">
      <c r="B83" s="93">
        <v>46240</v>
      </c>
      <c r="C83" s="7" t="s">
        <v>55</v>
      </c>
      <c r="D83" s="7" t="s">
        <v>27</v>
      </c>
      <c r="E83" s="2">
        <v>20</v>
      </c>
      <c r="F83"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1400000</v>
      </c>
    </row>
    <row r="84" spans="2:6" x14ac:dyDescent="0.25">
      <c r="B84" s="93">
        <v>46240</v>
      </c>
      <c r="C84" s="7" t="s">
        <v>55</v>
      </c>
      <c r="D84" s="7" t="s">
        <v>49</v>
      </c>
      <c r="E84" s="2">
        <v>10</v>
      </c>
      <c r="F84"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630000</v>
      </c>
    </row>
    <row r="85" spans="2:6" x14ac:dyDescent="0.25">
      <c r="B85" s="93">
        <v>46240</v>
      </c>
      <c r="C85" s="7" t="s">
        <v>55</v>
      </c>
      <c r="D85" s="7" t="s">
        <v>50</v>
      </c>
      <c r="E85" s="2">
        <v>20</v>
      </c>
      <c r="F85"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1260000</v>
      </c>
    </row>
    <row r="86" spans="2:6" x14ac:dyDescent="0.25">
      <c r="B86" s="93">
        <v>46240</v>
      </c>
      <c r="C86" s="7" t="s">
        <v>55</v>
      </c>
      <c r="D86" s="7" t="s">
        <v>37</v>
      </c>
      <c r="E86" s="2">
        <v>20</v>
      </c>
      <c r="F86"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1460000</v>
      </c>
    </row>
    <row r="87" spans="2:6" x14ac:dyDescent="0.25">
      <c r="B87" s="93">
        <v>46240</v>
      </c>
      <c r="C87" s="7" t="s">
        <v>56</v>
      </c>
      <c r="D87" s="7" t="s">
        <v>57</v>
      </c>
      <c r="E87" s="2">
        <v>10</v>
      </c>
      <c r="F87"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810000</v>
      </c>
    </row>
    <row r="88" spans="2:6" x14ac:dyDescent="0.25">
      <c r="B88" s="93">
        <v>46240</v>
      </c>
      <c r="C88" s="7" t="s">
        <v>56</v>
      </c>
      <c r="D88" s="7" t="s">
        <v>58</v>
      </c>
      <c r="E88" s="2">
        <v>20</v>
      </c>
      <c r="F88"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1680000</v>
      </c>
    </row>
    <row r="89" spans="2:6" x14ac:dyDescent="0.25">
      <c r="B89" s="93">
        <v>46240</v>
      </c>
      <c r="C89" s="7" t="s">
        <v>56</v>
      </c>
      <c r="D89" s="7" t="s">
        <v>59</v>
      </c>
      <c r="E89" s="2">
        <v>40</v>
      </c>
      <c r="F89"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2800000</v>
      </c>
    </row>
    <row r="90" spans="2:6" x14ac:dyDescent="0.25">
      <c r="B90" s="93">
        <v>46240</v>
      </c>
      <c r="C90" s="7" t="s">
        <v>60</v>
      </c>
      <c r="D90" s="7" t="s">
        <v>61</v>
      </c>
      <c r="E90" s="2">
        <v>5</v>
      </c>
      <c r="F90"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350000</v>
      </c>
    </row>
    <row r="91" spans="2:6" x14ac:dyDescent="0.25">
      <c r="B91" s="93">
        <v>46240</v>
      </c>
      <c r="C91" s="7" t="s">
        <v>60</v>
      </c>
      <c r="D91" s="7" t="s">
        <v>25</v>
      </c>
      <c r="E91" s="2">
        <v>3</v>
      </c>
      <c r="F91"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291000</v>
      </c>
    </row>
    <row r="92" spans="2:6" x14ac:dyDescent="0.25">
      <c r="B92" s="93">
        <v>46240</v>
      </c>
      <c r="C92" s="7" t="s">
        <v>60</v>
      </c>
      <c r="D92" s="7" t="s">
        <v>62</v>
      </c>
      <c r="E92" s="2">
        <v>7</v>
      </c>
      <c r="F92"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574000</v>
      </c>
    </row>
    <row r="93" spans="2:6" x14ac:dyDescent="0.25">
      <c r="B93" s="93">
        <v>46240</v>
      </c>
      <c r="C93" s="7" t="s">
        <v>60</v>
      </c>
      <c r="D93" s="7" t="s">
        <v>18</v>
      </c>
      <c r="E93" s="2">
        <v>10</v>
      </c>
      <c r="F93"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820000</v>
      </c>
    </row>
    <row r="94" spans="2:6" x14ac:dyDescent="0.25">
      <c r="B94" s="93">
        <v>46240</v>
      </c>
      <c r="C94" s="7" t="s">
        <v>60</v>
      </c>
      <c r="D94" s="7" t="s">
        <v>23</v>
      </c>
      <c r="E94" s="2">
        <v>10</v>
      </c>
      <c r="F94"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800000</v>
      </c>
    </row>
    <row r="95" spans="2:6" x14ac:dyDescent="0.25">
      <c r="B95" s="93">
        <v>46240</v>
      </c>
      <c r="C95" s="7" t="s">
        <v>60</v>
      </c>
      <c r="D95" s="7" t="s">
        <v>49</v>
      </c>
      <c r="E95" s="2">
        <v>9</v>
      </c>
      <c r="F95"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567000</v>
      </c>
    </row>
    <row r="96" spans="2:6" x14ac:dyDescent="0.25">
      <c r="B96" s="93">
        <v>46240</v>
      </c>
      <c r="C96" s="7" t="s">
        <v>60</v>
      </c>
      <c r="D96" s="7" t="s">
        <v>50</v>
      </c>
      <c r="E96" s="2">
        <v>25</v>
      </c>
      <c r="F96"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1575000</v>
      </c>
    </row>
    <row r="97" spans="2:6" x14ac:dyDescent="0.25">
      <c r="B97" s="93">
        <v>46240</v>
      </c>
      <c r="C97" s="7" t="s">
        <v>60</v>
      </c>
      <c r="D97" s="7" t="s">
        <v>37</v>
      </c>
      <c r="E97" s="2">
        <v>40</v>
      </c>
      <c r="F97"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2920000</v>
      </c>
    </row>
    <row r="98" spans="2:6" x14ac:dyDescent="0.25">
      <c r="B98" s="93">
        <v>46240</v>
      </c>
      <c r="C98" s="7" t="s">
        <v>3</v>
      </c>
      <c r="D98" s="7" t="s">
        <v>39</v>
      </c>
      <c r="E98" s="2">
        <v>1</v>
      </c>
      <c r="F98"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83000</v>
      </c>
    </row>
    <row r="99" spans="2:6" x14ac:dyDescent="0.25">
      <c r="B99" s="93">
        <v>46240</v>
      </c>
      <c r="C99" s="7" t="s">
        <v>3</v>
      </c>
      <c r="D99" s="7" t="s">
        <v>19</v>
      </c>
      <c r="E99" s="2">
        <v>6</v>
      </c>
      <c r="F99"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438000</v>
      </c>
    </row>
    <row r="100" spans="2:6" x14ac:dyDescent="0.25">
      <c r="B100" s="93">
        <v>46240</v>
      </c>
      <c r="C100" s="7" t="s">
        <v>3</v>
      </c>
      <c r="D100" s="7" t="s">
        <v>20</v>
      </c>
      <c r="E100" s="2">
        <v>1</v>
      </c>
      <c r="F100"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75000</v>
      </c>
    </row>
    <row r="101" spans="2:6" x14ac:dyDescent="0.25">
      <c r="B101" s="93">
        <v>46240</v>
      </c>
      <c r="C101" s="7" t="s">
        <v>3</v>
      </c>
      <c r="D101" s="7" t="s">
        <v>26</v>
      </c>
      <c r="E101" s="2">
        <v>2</v>
      </c>
      <c r="F101"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164000</v>
      </c>
    </row>
    <row r="102" spans="2:6" x14ac:dyDescent="0.25">
      <c r="B102" s="93">
        <v>46240</v>
      </c>
      <c r="C102" s="7" t="s">
        <v>3</v>
      </c>
      <c r="D102" s="7" t="s">
        <v>22</v>
      </c>
      <c r="E102" s="2">
        <v>2</v>
      </c>
      <c r="F102"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190000</v>
      </c>
    </row>
    <row r="103" spans="2:6" x14ac:dyDescent="0.25">
      <c r="B103" s="93">
        <v>46240</v>
      </c>
      <c r="C103" s="7" t="s">
        <v>3</v>
      </c>
      <c r="D103" s="7" t="s">
        <v>24</v>
      </c>
      <c r="E103" s="2">
        <v>8</v>
      </c>
      <c r="F103" s="95">
        <f>IF(INDEX('Master Data'!$C:$AR,MATCH(Table15[[#This Row],[PRODUK]],'Master Data'!$B:$B,0),MATCH(Table15[[#This Row],[NAMA PEMBELI]],'Master Data'!$C$2:$AR$2,0))*Table15[[#This Row],[Qty]]*10^3=0,"Belum ada harga",INDEX('Master Data'!$C:$AR,MATCH(Table15[[#This Row],[PRODUK]],'Master Data'!$B:$B,0),MATCH(Table15[[#This Row],[NAMA PEMBELI]],'Master Data'!$C$2:$AR$2,0))*Table15[[#This Row],[Qty]]*10^3)</f>
        <v>760000</v>
      </c>
    </row>
  </sheetData>
  <phoneticPr fontId="4" type="noConversion"/>
  <conditionalFormatting sqref="F11:F103">
    <cfRule type="top10" dxfId="2" priority="73" bottom="1" rank="1"/>
    <cfRule type="top10" dxfId="1" priority="74" rank="1"/>
    <cfRule type="cellIs" dxfId="0" priority="75" operator="equal">
      <formula>"Belum ada harga"</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InputTransaksi">
                <anchor moveWithCells="1" sizeWithCells="1">
                  <from>
                    <xdr:col>3</xdr:col>
                    <xdr:colOff>419100</xdr:colOff>
                    <xdr:row>6</xdr:row>
                    <xdr:rowOff>19050</xdr:rowOff>
                  </from>
                  <to>
                    <xdr:col>3</xdr:col>
                    <xdr:colOff>1266825</xdr:colOff>
                    <xdr:row>7</xdr:row>
                    <xdr:rowOff>180975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3">
        <x14:dataValidation type="list" allowBlank="1" showInputMessage="1" xr:uid="{8BE8352B-4ABF-445C-B039-9EBD9533D8AD}">
          <x14:formula1>
            <xm:f>_xlfn.ANCHORARRAY('Master Data'!$AX$14)</xm:f>
          </x14:formula1>
          <xm:sqref>C7</xm:sqref>
        </x14:dataValidation>
        <x14:dataValidation type="list" allowBlank="1" showInputMessage="1" xr:uid="{962B005B-ED4C-4A71-A630-BAF1C967E466}">
          <x14:formula1>
            <xm:f>_xlfn.ANCHORARRAY('Master Data'!$AW$14)</xm:f>
          </x14:formula1>
          <xm:sqref>C6</xm:sqref>
        </x14:dataValidation>
        <x14:dataValidation type="list" allowBlank="1" showInputMessage="1" xr:uid="{4F76124F-43E8-464E-89DE-A3972FF6C12B}">
          <x14:formula1>
            <xm:f>_xlfn.ANCHORARRAY('Master Data'!$AY$14)</xm:f>
          </x14:formula1>
          <xm:sqref>F7</xm:sqref>
        </x14:dataValidation>
      </x14:dataValidations>
    </ex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4124F-7D55-46A0-9596-D30C759DF1B3}">
  <sheetPr codeName="Sheet4">
    <tabColor rgb="FF00B0F0"/>
  </sheetPr>
  <dimension ref="B1:S250"/>
  <sheetViews>
    <sheetView showGridLines="0" zoomScaleNormal="100" workbookViewId="0">
      <selection activeCell="E5" sqref="E5"/>
    </sheetView>
  </sheetViews>
  <sheetFormatPr defaultRowHeight="15" x14ac:dyDescent="0.25"/>
  <cols>
    <col min="1" max="1" width="2.7109375" customWidth="1"/>
    <col min="2" max="2" width="21.28515625" customWidth="1"/>
    <col min="3" max="3" width="11" customWidth="1"/>
    <col min="4" max="6" width="9.42578125" style="24" customWidth="1"/>
    <col min="7" max="7" width="2.7109375" style="30" customWidth="1"/>
    <col min="8" max="8" width="11.85546875" style="29" customWidth="1"/>
    <col min="9" max="9" width="19.7109375" style="122" customWidth="1"/>
    <col min="10" max="10" width="7.5703125" style="29" customWidth="1"/>
    <col min="11" max="11" width="13.7109375" style="29" customWidth="1"/>
    <col min="12" max="12" width="2.7109375" style="29" customWidth="1"/>
    <col min="13" max="13" width="25.140625" style="68" customWidth="1"/>
    <col min="14" max="14" width="7.5703125" style="29" customWidth="1"/>
    <col min="15" max="15" width="13.7109375" style="29" customWidth="1"/>
    <col min="16" max="16" width="8.42578125" style="29" customWidth="1"/>
    <col min="17" max="18" width="11.28515625" style="46" hidden="1" customWidth="1"/>
    <col min="19" max="19" width="11.28515625" style="29" hidden="1" customWidth="1"/>
  </cols>
  <sheetData>
    <row r="1" spans="2:19" s="60" customFormat="1" ht="20.25" thickBot="1" x14ac:dyDescent="0.3">
      <c r="B1" s="62" t="s">
        <v>63</v>
      </c>
      <c r="C1" s="63"/>
      <c r="D1" s="63"/>
      <c r="E1" s="63"/>
      <c r="F1" s="79"/>
      <c r="G1" s="120"/>
      <c r="H1" s="64" t="s">
        <v>64</v>
      </c>
      <c r="I1" s="65"/>
      <c r="J1" s="65"/>
      <c r="K1" s="65"/>
      <c r="L1" s="59"/>
      <c r="M1" s="66" t="s">
        <v>65</v>
      </c>
      <c r="N1" s="67"/>
      <c r="O1" s="67"/>
      <c r="P1" s="59"/>
      <c r="Q1" s="58"/>
      <c r="R1" s="58"/>
      <c r="S1" s="58"/>
    </row>
    <row r="2" spans="2:19" ht="10.5" customHeight="1" thickTop="1" x14ac:dyDescent="0.25">
      <c r="C2" s="28"/>
    </row>
    <row r="3" spans="2:19" x14ac:dyDescent="0.25">
      <c r="B3" s="76" t="s">
        <v>66</v>
      </c>
      <c r="C3" s="160">
        <f ca="1">TODAY()-1</f>
        <v>46257</v>
      </c>
      <c r="D3" s="160"/>
      <c r="E3" s="49"/>
      <c r="H3" s="76" t="s">
        <v>4</v>
      </c>
      <c r="I3" s="123"/>
      <c r="J3" s="50"/>
      <c r="K3" s="50"/>
      <c r="L3" s="50"/>
      <c r="M3" s="69"/>
      <c r="N3" s="50"/>
      <c r="O3" s="50"/>
      <c r="P3" s="50"/>
      <c r="Q3" s="51"/>
      <c r="R3" s="51"/>
      <c r="S3" s="50"/>
    </row>
    <row r="4" spans="2:19" x14ac:dyDescent="0.25">
      <c r="B4" s="76" t="s">
        <v>67</v>
      </c>
      <c r="C4" s="160">
        <f ca="1">TODAY()</f>
        <v>46258</v>
      </c>
      <c r="D4" s="160"/>
      <c r="E4" s="49"/>
      <c r="H4" s="76" t="s">
        <v>68</v>
      </c>
      <c r="I4" s="121"/>
      <c r="J4" s="50"/>
      <c r="K4" s="50"/>
      <c r="L4" s="50"/>
      <c r="M4" s="74"/>
      <c r="N4" s="50"/>
      <c r="O4" s="50"/>
      <c r="P4" s="50"/>
      <c r="Q4" s="52" t="s">
        <v>69</v>
      </c>
      <c r="R4" s="51"/>
      <c r="S4" s="50"/>
    </row>
    <row r="5" spans="2:19" ht="5.25" customHeight="1" x14ac:dyDescent="0.25">
      <c r="C5" s="23"/>
    </row>
    <row r="6" spans="2:19" s="44" customFormat="1" ht="15.75" customHeight="1" x14ac:dyDescent="0.25">
      <c r="B6" s="53" t="s">
        <v>4</v>
      </c>
      <c r="C6" s="54" t="s">
        <v>70</v>
      </c>
      <c r="D6" s="54" t="s">
        <v>71</v>
      </c>
      <c r="E6" s="54" t="s">
        <v>72</v>
      </c>
      <c r="F6" s="55" t="s">
        <v>73</v>
      </c>
      <c r="G6" s="43"/>
      <c r="H6" s="119" t="s">
        <v>1</v>
      </c>
      <c r="I6" s="70" t="s">
        <v>4</v>
      </c>
      <c r="J6" s="56" t="s">
        <v>8</v>
      </c>
      <c r="K6" s="56" t="s">
        <v>74</v>
      </c>
      <c r="L6" s="43"/>
      <c r="M6" s="75" t="s">
        <v>4</v>
      </c>
      <c r="N6" s="45" t="s">
        <v>8</v>
      </c>
      <c r="O6" s="45" t="s">
        <v>74</v>
      </c>
      <c r="P6" s="43"/>
      <c r="Q6" s="48">
        <f>I3</f>
        <v>0</v>
      </c>
      <c r="R6" s="48">
        <f>M3</f>
        <v>0</v>
      </c>
      <c r="S6" s="43"/>
    </row>
    <row r="7" spans="2:19" x14ac:dyDescent="0.25">
      <c r="B7" s="39" t="s">
        <v>35</v>
      </c>
      <c r="C7" s="77">
        <v>0</v>
      </c>
      <c r="D7" s="25">
        <f>SUMIFS(BarangMasuk[Qty],BarangMasuk[Produk],LaporanStok[[#This Row],[Produk]])</f>
        <v>0</v>
      </c>
      <c r="E7" s="25">
        <f>SUMIFS(BarangKeluar[Qty],BarangKeluar[Produk],LaporanStok[[#This Row],[Produk]])</f>
        <v>0</v>
      </c>
      <c r="F7" s="40">
        <f>LaporanStok[[#This Row],[Awal]]+LaporanStok[[#This Row],[In]]-LaporanStok[[#This Row],[Out]]</f>
        <v>0</v>
      </c>
      <c r="H7" s="78"/>
      <c r="I7" s="104"/>
      <c r="J7" s="61"/>
      <c r="K7" s="61"/>
      <c r="L7" s="30"/>
      <c r="M7" s="104"/>
      <c r="N7" s="61"/>
      <c r="O7" s="61"/>
      <c r="P7" s="30"/>
      <c r="Q7" s="47" t="str" cm="1">
        <f t="array" ref="Q7:Q9">_xlfn._xlws.SORT(_xlfn._xlws.FILTER('Master Data'!$B$3:$B$122,ISNUMBER(SEARCH(Q6,'Master Data'!$B$3:$B$122)),'Master Data'!$B$3:$B$122))</f>
        <v>HM PRO 20</v>
      </c>
      <c r="R7" s="47" t="str" cm="1">
        <f t="array" ref="R7:R9">_xlfn._xlws.SORT(_xlfn._xlws.FILTER('Master Data'!$B$3:$B$122,ISNUMBER(SEARCH(R6,'Master Data'!$B$3:$B$122)),'Master Data'!$B$3:$B$122))</f>
        <v>HM PRO 20</v>
      </c>
      <c r="S7" s="30"/>
    </row>
    <row r="8" spans="2:19" x14ac:dyDescent="0.25">
      <c r="B8" s="39" t="s">
        <v>75</v>
      </c>
      <c r="C8" s="77">
        <v>0</v>
      </c>
      <c r="D8" s="25">
        <f>SUMIFS(BarangMasuk[Qty],BarangMasuk[Produk],LaporanStok[[#This Row],[Produk]])</f>
        <v>0</v>
      </c>
      <c r="E8" s="25">
        <f>SUMIFS(BarangKeluar[Qty],BarangKeluar[Produk],LaporanStok[[#This Row],[Produk]])</f>
        <v>0</v>
      </c>
      <c r="F8" s="40">
        <f>LaporanStok[[#This Row],[Awal]]+LaporanStok[[#This Row],[In]]-LaporanStok[[#This Row],[Out]]</f>
        <v>0</v>
      </c>
      <c r="H8" s="78"/>
      <c r="I8" s="104"/>
      <c r="J8" s="61"/>
      <c r="K8" s="61"/>
      <c r="L8" s="30"/>
      <c r="M8" s="104"/>
      <c r="N8" s="61"/>
      <c r="O8" s="61"/>
      <c r="P8" s="30"/>
      <c r="Q8" s="47" t="str">
        <v>MD 20</v>
      </c>
      <c r="R8" s="47" t="str">
        <v>MD 20</v>
      </c>
      <c r="S8" s="30"/>
    </row>
    <row r="9" spans="2:19" x14ac:dyDescent="0.25">
      <c r="B9" s="39" t="s">
        <v>76</v>
      </c>
      <c r="C9" s="77">
        <v>0</v>
      </c>
      <c r="D9" s="25">
        <f>SUMIFS(BarangMasuk[Qty],BarangMasuk[Produk],LaporanStok[[#This Row],[Produk]])</f>
        <v>0</v>
      </c>
      <c r="E9" s="25">
        <f>SUMIFS(BarangKeluar[Qty],BarangKeluar[Produk],LaporanStok[[#This Row],[Produk]])</f>
        <v>0</v>
      </c>
      <c r="F9" s="40">
        <f>LaporanStok[[#This Row],[Awal]]+LaporanStok[[#This Row],[In]]-LaporanStok[[#This Row],[Out]]</f>
        <v>0</v>
      </c>
      <c r="H9" s="78"/>
      <c r="I9" s="104"/>
      <c r="J9" s="61"/>
      <c r="K9" s="61"/>
      <c r="L9" s="30"/>
      <c r="M9" s="104"/>
      <c r="N9" s="61"/>
      <c r="O9" s="61"/>
      <c r="P9" s="30"/>
      <c r="Q9" s="47" t="str">
        <v>NC BLUE 20</v>
      </c>
      <c r="R9" s="47" t="str">
        <v>NC BLUE 20</v>
      </c>
      <c r="S9" s="30"/>
    </row>
    <row r="10" spans="2:19" x14ac:dyDescent="0.25">
      <c r="B10" s="39" t="s">
        <v>77</v>
      </c>
      <c r="C10" s="77">
        <v>0</v>
      </c>
      <c r="D10" s="25">
        <f>SUMIFS(BarangMasuk[Qty],BarangMasuk[Produk],LaporanStok[[#This Row],[Produk]])</f>
        <v>0</v>
      </c>
      <c r="E10" s="25">
        <f>SUMIFS(BarangKeluar[Qty],BarangKeluar[Produk],LaporanStok[[#This Row],[Produk]])</f>
        <v>0</v>
      </c>
      <c r="F10" s="40">
        <f>LaporanStok[[#This Row],[Awal]]+LaporanStok[[#This Row],[In]]-LaporanStok[[#This Row],[Out]]</f>
        <v>0</v>
      </c>
      <c r="H10" s="78"/>
      <c r="I10" s="104"/>
      <c r="J10" s="61"/>
      <c r="K10" s="61"/>
      <c r="L10" s="30"/>
      <c r="M10" s="104"/>
      <c r="N10" s="61"/>
      <c r="O10" s="61"/>
      <c r="P10" s="30"/>
      <c r="Q10" s="47"/>
      <c r="R10" s="47"/>
      <c r="S10" s="30"/>
    </row>
    <row r="11" spans="2:19" x14ac:dyDescent="0.25">
      <c r="B11" s="39" t="s">
        <v>20</v>
      </c>
      <c r="C11" s="77">
        <v>0</v>
      </c>
      <c r="D11" s="25">
        <f>SUMIFS(BarangMasuk[Qty],BarangMasuk[Produk],LaporanStok[[#This Row],[Produk]])</f>
        <v>0</v>
      </c>
      <c r="E11" s="25">
        <f>SUMIFS(BarangKeluar[Qty],BarangKeluar[Produk],LaporanStok[[#This Row],[Produk]])</f>
        <v>0</v>
      </c>
      <c r="F11" s="40">
        <f>LaporanStok[[#This Row],[Awal]]+LaporanStok[[#This Row],[In]]-LaporanStok[[#This Row],[Out]]</f>
        <v>0</v>
      </c>
      <c r="H11" s="78"/>
      <c r="I11" s="104"/>
      <c r="J11" s="61"/>
      <c r="K11" s="61"/>
      <c r="L11" s="30"/>
      <c r="M11" s="104"/>
      <c r="N11" s="61"/>
      <c r="O11" s="61"/>
      <c r="P11" s="30"/>
      <c r="Q11" s="47"/>
      <c r="R11" s="47"/>
      <c r="S11" s="30"/>
    </row>
    <row r="12" spans="2:19" x14ac:dyDescent="0.25">
      <c r="B12" s="39" t="s">
        <v>78</v>
      </c>
      <c r="C12" s="77">
        <v>2</v>
      </c>
      <c r="D12" s="25">
        <f>SUMIFS(BarangMasuk[Qty],BarangMasuk[Produk],LaporanStok[[#This Row],[Produk]])</f>
        <v>0</v>
      </c>
      <c r="E12" s="25">
        <f>SUMIFS(BarangKeluar[Qty],BarangKeluar[Produk],LaporanStok[[#This Row],[Produk]])</f>
        <v>0</v>
      </c>
      <c r="F12" s="40">
        <f>LaporanStok[[#This Row],[Awal]]+LaporanStok[[#This Row],[In]]-LaporanStok[[#This Row],[Out]]</f>
        <v>2</v>
      </c>
      <c r="H12" s="78"/>
      <c r="I12" s="104"/>
      <c r="J12" s="61"/>
      <c r="K12" s="61"/>
      <c r="L12" s="30"/>
      <c r="M12" s="104"/>
      <c r="N12" s="61"/>
      <c r="O12" s="61"/>
      <c r="P12" s="30"/>
      <c r="Q12" s="47"/>
      <c r="R12" s="47"/>
      <c r="S12" s="30"/>
    </row>
    <row r="13" spans="2:19" x14ac:dyDescent="0.25">
      <c r="B13" s="39" t="s">
        <v>57</v>
      </c>
      <c r="C13" s="77">
        <v>0</v>
      </c>
      <c r="D13" s="25">
        <f>SUMIFS(BarangMasuk[Qty],BarangMasuk[Produk],LaporanStok[[#This Row],[Produk]])</f>
        <v>0</v>
      </c>
      <c r="E13" s="25">
        <f>SUMIFS(BarangKeluar[Qty],BarangKeluar[Produk],LaporanStok[[#This Row],[Produk]])</f>
        <v>0</v>
      </c>
      <c r="F13" s="40">
        <f>LaporanStok[[#This Row],[Awal]]+LaporanStok[[#This Row],[In]]-LaporanStok[[#This Row],[Out]]</f>
        <v>0</v>
      </c>
      <c r="H13" s="78"/>
      <c r="I13" s="104"/>
      <c r="J13" s="61"/>
      <c r="K13" s="61"/>
      <c r="L13" s="30"/>
      <c r="M13" s="104"/>
      <c r="N13" s="61"/>
      <c r="O13" s="61"/>
      <c r="P13" s="30"/>
      <c r="Q13" s="47"/>
      <c r="R13" s="47"/>
      <c r="S13" s="30"/>
    </row>
    <row r="14" spans="2:19" x14ac:dyDescent="0.25">
      <c r="B14" s="39" t="s">
        <v>79</v>
      </c>
      <c r="C14" s="77">
        <v>0</v>
      </c>
      <c r="D14" s="25">
        <f>SUMIFS(BarangMasuk[Qty],BarangMasuk[Produk],LaporanStok[[#This Row],[Produk]])</f>
        <v>0</v>
      </c>
      <c r="E14" s="25">
        <f>SUMIFS(BarangKeluar[Qty],BarangKeluar[Produk],LaporanStok[[#This Row],[Produk]])</f>
        <v>0</v>
      </c>
      <c r="F14" s="40">
        <f>LaporanStok[[#This Row],[Awal]]+LaporanStok[[#This Row],[In]]-LaporanStok[[#This Row],[Out]]</f>
        <v>0</v>
      </c>
      <c r="H14" s="78"/>
      <c r="I14" s="104"/>
      <c r="J14" s="61"/>
      <c r="K14" s="61"/>
      <c r="L14" s="32"/>
      <c r="M14" s="104"/>
      <c r="N14" s="61"/>
      <c r="O14" s="61"/>
      <c r="P14" s="32"/>
      <c r="Q14" s="47"/>
      <c r="R14" s="47"/>
      <c r="S14" s="32"/>
    </row>
    <row r="15" spans="2:19" x14ac:dyDescent="0.25">
      <c r="B15" s="39" t="s">
        <v>80</v>
      </c>
      <c r="C15" s="77">
        <v>0</v>
      </c>
      <c r="D15" s="25">
        <f>SUMIFS(BarangMasuk[Qty],BarangMasuk[Produk],LaporanStok[[#This Row],[Produk]])</f>
        <v>0</v>
      </c>
      <c r="E15" s="25">
        <f>SUMIFS(BarangKeluar[Qty],BarangKeluar[Produk],LaporanStok[[#This Row],[Produk]])</f>
        <v>0</v>
      </c>
      <c r="F15" s="40">
        <f>LaporanStok[[#This Row],[Awal]]+LaporanStok[[#This Row],[In]]-LaporanStok[[#This Row],[Out]]</f>
        <v>0</v>
      </c>
      <c r="H15" s="78"/>
      <c r="I15" s="104"/>
      <c r="J15" s="61"/>
      <c r="K15" s="61"/>
      <c r="L15" s="30"/>
      <c r="M15" s="104"/>
      <c r="N15" s="61"/>
      <c r="O15" s="61"/>
      <c r="P15" s="30"/>
      <c r="Q15" s="47"/>
      <c r="R15" s="47"/>
      <c r="S15" s="30"/>
    </row>
    <row r="16" spans="2:19" x14ac:dyDescent="0.25">
      <c r="B16" s="39" t="s">
        <v>81</v>
      </c>
      <c r="C16" s="77">
        <v>0</v>
      </c>
      <c r="D16" s="25">
        <f>SUMIFS(BarangMasuk[Qty],BarangMasuk[Produk],LaporanStok[[#This Row],[Produk]])</f>
        <v>0</v>
      </c>
      <c r="E16" s="25">
        <f>SUMIFS(BarangKeluar[Qty],BarangKeluar[Produk],LaporanStok[[#This Row],[Produk]])</f>
        <v>0</v>
      </c>
      <c r="F16" s="40">
        <f>LaporanStok[[#This Row],[Awal]]+LaporanStok[[#This Row],[In]]-LaporanStok[[#This Row],[Out]]</f>
        <v>0</v>
      </c>
      <c r="H16" s="78"/>
      <c r="I16" s="104"/>
      <c r="J16" s="61"/>
      <c r="K16" s="61"/>
      <c r="L16" s="30"/>
      <c r="M16" s="104"/>
      <c r="N16" s="61"/>
      <c r="O16" s="61"/>
      <c r="P16" s="30"/>
      <c r="Q16" s="47"/>
      <c r="R16" s="47"/>
      <c r="S16" s="30"/>
    </row>
    <row r="17" spans="2:19" x14ac:dyDescent="0.25">
      <c r="B17" s="39" t="s">
        <v>82</v>
      </c>
      <c r="C17" s="77">
        <v>0</v>
      </c>
      <c r="D17" s="25">
        <f>SUMIFS(BarangMasuk[Qty],BarangMasuk[Produk],LaporanStok[[#This Row],[Produk]])</f>
        <v>0</v>
      </c>
      <c r="E17" s="25">
        <f>SUMIFS(BarangKeluar[Qty],BarangKeluar[Produk],LaporanStok[[#This Row],[Produk]])</f>
        <v>0</v>
      </c>
      <c r="F17" s="40">
        <f>LaporanStok[[#This Row],[Awal]]+LaporanStok[[#This Row],[In]]-LaporanStok[[#This Row],[Out]]</f>
        <v>0</v>
      </c>
      <c r="H17" s="78"/>
      <c r="I17" s="104"/>
      <c r="J17" s="61"/>
      <c r="K17" s="61"/>
      <c r="L17" s="30"/>
      <c r="M17" s="104"/>
      <c r="N17" s="61"/>
      <c r="O17" s="61"/>
      <c r="P17" s="30"/>
      <c r="Q17" s="47"/>
      <c r="R17" s="47"/>
      <c r="S17" s="30"/>
    </row>
    <row r="18" spans="2:19" x14ac:dyDescent="0.25">
      <c r="B18" s="39" t="s">
        <v>83</v>
      </c>
      <c r="C18" s="77">
        <v>0</v>
      </c>
      <c r="D18" s="25">
        <f>SUMIFS(BarangMasuk[Qty],BarangMasuk[Produk],LaporanStok[[#This Row],[Produk]])</f>
        <v>0</v>
      </c>
      <c r="E18" s="25">
        <f>SUMIFS(BarangKeluar[Qty],BarangKeluar[Produk],LaporanStok[[#This Row],[Produk]])</f>
        <v>0</v>
      </c>
      <c r="F18" s="40">
        <f>LaporanStok[[#This Row],[Awal]]+LaporanStok[[#This Row],[In]]-LaporanStok[[#This Row],[Out]]</f>
        <v>0</v>
      </c>
      <c r="H18" s="78"/>
      <c r="I18" s="104"/>
      <c r="J18" s="61"/>
      <c r="K18" s="61"/>
      <c r="L18" s="30"/>
      <c r="M18" s="104"/>
      <c r="N18" s="61"/>
      <c r="O18" s="61"/>
      <c r="P18" s="30"/>
      <c r="Q18" s="47"/>
      <c r="R18" s="47"/>
      <c r="S18" s="30"/>
    </row>
    <row r="19" spans="2:19" x14ac:dyDescent="0.25">
      <c r="B19" s="39" t="s">
        <v>84</v>
      </c>
      <c r="C19" s="77">
        <v>0</v>
      </c>
      <c r="D19" s="25">
        <f>SUMIFS(BarangMasuk[Qty],BarangMasuk[Produk],LaporanStok[[#This Row],[Produk]])</f>
        <v>0</v>
      </c>
      <c r="E19" s="25">
        <f>SUMIFS(BarangKeluar[Qty],BarangKeluar[Produk],LaporanStok[[#This Row],[Produk]])</f>
        <v>0</v>
      </c>
      <c r="F19" s="40">
        <f>LaporanStok[[#This Row],[Awal]]+LaporanStok[[#This Row],[In]]-LaporanStok[[#This Row],[Out]]</f>
        <v>0</v>
      </c>
      <c r="H19" s="78"/>
      <c r="I19" s="104"/>
      <c r="J19" s="61"/>
      <c r="K19" s="61"/>
      <c r="L19" s="30"/>
      <c r="M19" s="104"/>
      <c r="N19" s="61"/>
      <c r="O19" s="61"/>
      <c r="P19" s="30"/>
      <c r="Q19" s="47"/>
      <c r="R19" s="47"/>
      <c r="S19" s="30"/>
    </row>
    <row r="20" spans="2:19" x14ac:dyDescent="0.25">
      <c r="B20" s="39" t="s">
        <v>85</v>
      </c>
      <c r="C20" s="77">
        <v>0</v>
      </c>
      <c r="D20" s="25">
        <f>SUMIFS(BarangMasuk[Qty],BarangMasuk[Produk],LaporanStok[[#This Row],[Produk]])</f>
        <v>0</v>
      </c>
      <c r="E20" s="25">
        <f>SUMIFS(BarangKeluar[Qty],BarangKeluar[Produk],LaporanStok[[#This Row],[Produk]])</f>
        <v>0</v>
      </c>
      <c r="F20" s="40">
        <f>LaporanStok[[#This Row],[Awal]]+LaporanStok[[#This Row],[In]]-LaporanStok[[#This Row],[Out]]</f>
        <v>0</v>
      </c>
      <c r="H20" s="78"/>
      <c r="I20" s="104"/>
      <c r="J20" s="61"/>
      <c r="K20" s="61"/>
      <c r="L20" s="30"/>
      <c r="M20" s="104"/>
      <c r="N20" s="61"/>
      <c r="O20" s="61"/>
      <c r="P20" s="30"/>
      <c r="Q20" s="47"/>
      <c r="R20" s="47"/>
      <c r="S20" s="30"/>
    </row>
    <row r="21" spans="2:19" x14ac:dyDescent="0.25">
      <c r="B21" s="39" t="s">
        <v>86</v>
      </c>
      <c r="C21" s="77">
        <v>0</v>
      </c>
      <c r="D21" s="25">
        <f>SUMIFS(BarangMasuk[Qty],BarangMasuk[Produk],LaporanStok[[#This Row],[Produk]])</f>
        <v>0</v>
      </c>
      <c r="E21" s="25">
        <f>SUMIFS(BarangKeluar[Qty],BarangKeluar[Produk],LaporanStok[[#This Row],[Produk]])</f>
        <v>0</v>
      </c>
      <c r="F21" s="40">
        <f>LaporanStok[[#This Row],[Awal]]+LaporanStok[[#This Row],[In]]-LaporanStok[[#This Row],[Out]]</f>
        <v>0</v>
      </c>
      <c r="H21" s="78"/>
      <c r="I21" s="104"/>
      <c r="J21" s="61"/>
      <c r="K21" s="61"/>
      <c r="L21" s="30"/>
      <c r="M21" s="104"/>
      <c r="N21" s="61"/>
      <c r="O21" s="61"/>
      <c r="P21" s="30"/>
      <c r="Q21" s="47"/>
      <c r="R21" s="47"/>
      <c r="S21" s="30"/>
    </row>
    <row r="22" spans="2:19" x14ac:dyDescent="0.25">
      <c r="B22" s="39" t="s">
        <v>87</v>
      </c>
      <c r="C22" s="77">
        <v>0</v>
      </c>
      <c r="D22" s="25">
        <f>SUMIFS(BarangMasuk[Qty],BarangMasuk[Produk],LaporanStok[[#This Row],[Produk]])</f>
        <v>0</v>
      </c>
      <c r="E22" s="25">
        <f>SUMIFS(BarangKeluar[Qty],BarangKeluar[Produk],LaporanStok[[#This Row],[Produk]])</f>
        <v>0</v>
      </c>
      <c r="F22" s="40">
        <f>LaporanStok[[#This Row],[Awal]]+LaporanStok[[#This Row],[In]]-LaporanStok[[#This Row],[Out]]</f>
        <v>0</v>
      </c>
      <c r="H22" s="30"/>
      <c r="I22" s="124"/>
      <c r="J22" s="30"/>
      <c r="K22" s="30"/>
      <c r="L22" s="30"/>
      <c r="M22" s="104"/>
      <c r="N22" s="61"/>
      <c r="O22" s="61"/>
      <c r="P22" s="30"/>
      <c r="Q22" s="47"/>
      <c r="R22" s="47"/>
      <c r="S22" s="30"/>
    </row>
    <row r="23" spans="2:19" x14ac:dyDescent="0.25">
      <c r="B23" s="39" t="s">
        <v>88</v>
      </c>
      <c r="C23" s="77">
        <v>0</v>
      </c>
      <c r="D23" s="25">
        <f>SUMIFS(BarangMasuk[Qty],BarangMasuk[Produk],LaporanStok[[#This Row],[Produk]])</f>
        <v>0</v>
      </c>
      <c r="E23" s="25">
        <f>SUMIFS(BarangKeluar[Qty],BarangKeluar[Produk],LaporanStok[[#This Row],[Produk]])</f>
        <v>0</v>
      </c>
      <c r="F23" s="40">
        <f>LaporanStok[[#This Row],[Awal]]+LaporanStok[[#This Row],[In]]-LaporanStok[[#This Row],[Out]]</f>
        <v>0</v>
      </c>
      <c r="H23" s="30"/>
      <c r="I23" s="124"/>
      <c r="J23" s="30"/>
      <c r="K23" s="30"/>
      <c r="L23" s="30"/>
      <c r="M23" s="104"/>
      <c r="N23" s="61"/>
      <c r="O23" s="61"/>
      <c r="P23" s="30"/>
      <c r="Q23" s="47"/>
      <c r="R23" s="47"/>
      <c r="S23" s="30"/>
    </row>
    <row r="24" spans="2:19" x14ac:dyDescent="0.25">
      <c r="B24" s="39" t="s">
        <v>89</v>
      </c>
      <c r="C24" s="77">
        <v>0</v>
      </c>
      <c r="D24" s="25">
        <f>SUMIFS(BarangMasuk[Qty],BarangMasuk[Produk],LaporanStok[[#This Row],[Produk]])</f>
        <v>0</v>
      </c>
      <c r="E24" s="25">
        <f>SUMIFS(BarangKeluar[Qty],BarangKeluar[Produk],LaporanStok[[#This Row],[Produk]])</f>
        <v>0</v>
      </c>
      <c r="F24" s="40">
        <f>LaporanStok[[#This Row],[Awal]]+LaporanStok[[#This Row],[In]]-LaporanStok[[#This Row],[Out]]</f>
        <v>0</v>
      </c>
      <c r="H24" s="30"/>
      <c r="I24" s="124"/>
      <c r="J24" s="30"/>
      <c r="K24" s="30"/>
      <c r="L24" s="30"/>
      <c r="M24" s="104"/>
      <c r="N24" s="61"/>
      <c r="O24" s="61"/>
      <c r="P24" s="30"/>
      <c r="Q24" s="47"/>
      <c r="R24" s="47"/>
      <c r="S24" s="30"/>
    </row>
    <row r="25" spans="2:19" x14ac:dyDescent="0.25">
      <c r="B25" s="39" t="s">
        <v>90</v>
      </c>
      <c r="C25" s="77">
        <v>0</v>
      </c>
      <c r="D25" s="25">
        <f>SUMIFS(BarangMasuk[Qty],BarangMasuk[Produk],LaporanStok[[#This Row],[Produk]])</f>
        <v>0</v>
      </c>
      <c r="E25" s="25">
        <f>SUMIFS(BarangKeluar[Qty],BarangKeluar[Produk],LaporanStok[[#This Row],[Produk]])</f>
        <v>0</v>
      </c>
      <c r="F25" s="40">
        <f>LaporanStok[[#This Row],[Awal]]+LaporanStok[[#This Row],[In]]-LaporanStok[[#This Row],[Out]]</f>
        <v>0</v>
      </c>
      <c r="H25" s="30"/>
      <c r="I25" s="124"/>
      <c r="J25" s="30"/>
      <c r="K25" s="30"/>
      <c r="L25" s="30"/>
      <c r="M25" s="104"/>
      <c r="N25" s="61"/>
      <c r="O25" s="61"/>
      <c r="P25" s="30"/>
      <c r="Q25" s="47"/>
      <c r="R25" s="47"/>
      <c r="S25" s="30"/>
    </row>
    <row r="26" spans="2:19" x14ac:dyDescent="0.25">
      <c r="B26" s="39" t="s">
        <v>91</v>
      </c>
      <c r="C26" s="77">
        <v>0</v>
      </c>
      <c r="D26" s="25">
        <f>SUMIFS(BarangMasuk[Qty],BarangMasuk[Produk],LaporanStok[[#This Row],[Produk]])</f>
        <v>0</v>
      </c>
      <c r="E26" s="25">
        <f>SUMIFS(BarangKeluar[Qty],BarangKeluar[Produk],LaporanStok[[#This Row],[Produk]])</f>
        <v>0</v>
      </c>
      <c r="F26" s="40">
        <f>LaporanStok[[#This Row],[Awal]]+LaporanStok[[#This Row],[In]]-LaporanStok[[#This Row],[Out]]</f>
        <v>0</v>
      </c>
      <c r="H26" s="32"/>
      <c r="I26" s="125"/>
      <c r="J26" s="32"/>
      <c r="K26" s="32"/>
      <c r="L26" s="30"/>
      <c r="M26" s="104"/>
      <c r="N26" s="61"/>
      <c r="O26" s="61"/>
      <c r="P26" s="30"/>
      <c r="Q26" s="47"/>
      <c r="R26" s="47"/>
      <c r="S26" s="30"/>
    </row>
    <row r="27" spans="2:19" x14ac:dyDescent="0.25">
      <c r="B27" s="39" t="s">
        <v>92</v>
      </c>
      <c r="C27" s="77">
        <v>0</v>
      </c>
      <c r="D27" s="25">
        <f>SUMIFS(BarangMasuk[Qty],BarangMasuk[Produk],LaporanStok[[#This Row],[Produk]])</f>
        <v>0</v>
      </c>
      <c r="E27" s="25">
        <f>SUMIFS(BarangKeluar[Qty],BarangKeluar[Produk],LaporanStok[[#This Row],[Produk]])</f>
        <v>0</v>
      </c>
      <c r="F27" s="40">
        <f>LaporanStok[[#This Row],[Awal]]+LaporanStok[[#This Row],[In]]-LaporanStok[[#This Row],[Out]]</f>
        <v>0</v>
      </c>
      <c r="H27" s="30"/>
      <c r="I27" s="124"/>
      <c r="J27" s="30"/>
      <c r="K27" s="30"/>
      <c r="L27" s="30"/>
      <c r="M27" s="104"/>
      <c r="N27" s="61"/>
      <c r="O27" s="61"/>
      <c r="P27" s="30"/>
      <c r="Q27" s="47"/>
      <c r="R27" s="47"/>
      <c r="S27" s="30"/>
    </row>
    <row r="28" spans="2:19" x14ac:dyDescent="0.25">
      <c r="B28" s="39" t="s">
        <v>93</v>
      </c>
      <c r="C28" s="77">
        <v>0</v>
      </c>
      <c r="D28" s="25">
        <f>SUMIFS(BarangMasuk[Qty],BarangMasuk[Produk],LaporanStok[[#This Row],[Produk]])</f>
        <v>0</v>
      </c>
      <c r="E28" s="25">
        <f>SUMIFS(BarangKeluar[Qty],BarangKeluar[Produk],LaporanStok[[#This Row],[Produk]])</f>
        <v>0</v>
      </c>
      <c r="F28" s="40">
        <f>LaporanStok[[#This Row],[Awal]]+LaporanStok[[#This Row],[In]]-LaporanStok[[#This Row],[Out]]</f>
        <v>0</v>
      </c>
      <c r="H28" s="30"/>
      <c r="I28" s="124"/>
      <c r="J28" s="30"/>
      <c r="K28" s="30"/>
      <c r="L28" s="30"/>
      <c r="M28" s="104"/>
      <c r="N28" s="61"/>
      <c r="O28" s="61"/>
      <c r="P28" s="30"/>
      <c r="Q28" s="47"/>
      <c r="R28" s="47"/>
      <c r="S28" s="30"/>
    </row>
    <row r="29" spans="2:19" x14ac:dyDescent="0.25">
      <c r="B29" s="39" t="s">
        <v>94</v>
      </c>
      <c r="C29" s="77">
        <v>6</v>
      </c>
      <c r="D29" s="25">
        <f>SUMIFS(BarangMasuk[Qty],BarangMasuk[Produk],LaporanStok[[#This Row],[Produk]])</f>
        <v>0</v>
      </c>
      <c r="E29" s="25">
        <f>SUMIFS(BarangKeluar[Qty],BarangKeluar[Produk],LaporanStok[[#This Row],[Produk]])</f>
        <v>0</v>
      </c>
      <c r="F29" s="41">
        <f>LaporanStok[[#This Row],[Awal]]+LaporanStok[[#This Row],[In]]-LaporanStok[[#This Row],[Out]]</f>
        <v>6</v>
      </c>
      <c r="G29" s="32"/>
      <c r="H29" s="30"/>
      <c r="I29" s="124"/>
      <c r="J29" s="30"/>
      <c r="K29" s="30"/>
      <c r="L29" s="30"/>
      <c r="M29" s="104"/>
      <c r="N29" s="61"/>
      <c r="O29" s="61"/>
      <c r="P29" s="30"/>
      <c r="Q29" s="47"/>
      <c r="R29" s="47"/>
      <c r="S29" s="30"/>
    </row>
    <row r="30" spans="2:19" x14ac:dyDescent="0.25">
      <c r="B30" s="39" t="s">
        <v>95</v>
      </c>
      <c r="C30" s="77">
        <v>0</v>
      </c>
      <c r="D30" s="25">
        <f>SUMIFS(BarangMasuk[Qty],BarangMasuk[Produk],LaporanStok[[#This Row],[Produk]])</f>
        <v>0</v>
      </c>
      <c r="E30" s="25">
        <f>SUMIFS(BarangKeluar[Qty],BarangKeluar[Produk],LaporanStok[[#This Row],[Produk]])</f>
        <v>0</v>
      </c>
      <c r="F30" s="40">
        <f>LaporanStok[[#This Row],[Awal]]+LaporanStok[[#This Row],[In]]-LaporanStok[[#This Row],[Out]]</f>
        <v>0</v>
      </c>
      <c r="H30" s="30"/>
      <c r="I30" s="124"/>
      <c r="J30" s="30"/>
      <c r="K30" s="30"/>
      <c r="L30" s="30"/>
      <c r="M30" s="104"/>
      <c r="N30" s="61"/>
      <c r="O30" s="61"/>
      <c r="P30" s="30"/>
      <c r="Q30" s="47"/>
      <c r="R30" s="47"/>
      <c r="S30" s="30"/>
    </row>
    <row r="31" spans="2:19" x14ac:dyDescent="0.25">
      <c r="B31" s="39" t="s">
        <v>96</v>
      </c>
      <c r="C31" s="77">
        <v>0</v>
      </c>
      <c r="D31" s="25">
        <f>SUMIFS(BarangMasuk[Qty],BarangMasuk[Produk],LaporanStok[[#This Row],[Produk]])</f>
        <v>0</v>
      </c>
      <c r="E31" s="25">
        <f>SUMIFS(BarangKeluar[Qty],BarangKeluar[Produk],LaporanStok[[#This Row],[Produk]])</f>
        <v>0</v>
      </c>
      <c r="F31" s="40">
        <f>LaporanStok[[#This Row],[Awal]]+LaporanStok[[#This Row],[In]]-LaporanStok[[#This Row],[Out]]</f>
        <v>0</v>
      </c>
      <c r="H31" s="30"/>
      <c r="I31" s="124"/>
      <c r="J31" s="30"/>
      <c r="K31" s="30"/>
      <c r="L31" s="30"/>
      <c r="M31" s="104"/>
      <c r="N31" s="61"/>
      <c r="O31" s="61"/>
      <c r="P31" s="30"/>
      <c r="Q31" s="47"/>
      <c r="R31" s="47"/>
      <c r="S31" s="30"/>
    </row>
    <row r="32" spans="2:19" x14ac:dyDescent="0.25">
      <c r="B32" s="39" t="s">
        <v>97</v>
      </c>
      <c r="C32" s="77">
        <v>5</v>
      </c>
      <c r="D32" s="25">
        <f>SUMIFS(BarangMasuk[Qty],BarangMasuk[Produk],LaporanStok[[#This Row],[Produk]])</f>
        <v>0</v>
      </c>
      <c r="E32" s="25">
        <f>SUMIFS(BarangKeluar[Qty],BarangKeluar[Produk],LaporanStok[[#This Row],[Produk]])</f>
        <v>0</v>
      </c>
      <c r="F32" s="40">
        <f>LaporanStok[[#This Row],[Awal]]+LaporanStok[[#This Row],[In]]-LaporanStok[[#This Row],[Out]]</f>
        <v>5</v>
      </c>
      <c r="H32" s="30"/>
      <c r="I32" s="124"/>
      <c r="J32" s="30"/>
      <c r="K32" s="30"/>
      <c r="L32" s="30"/>
      <c r="M32" s="104"/>
      <c r="N32" s="61"/>
      <c r="O32" s="61"/>
      <c r="P32" s="30"/>
      <c r="Q32" s="47"/>
      <c r="R32" s="47"/>
      <c r="S32" s="30"/>
    </row>
    <row r="33" spans="2:19" x14ac:dyDescent="0.25">
      <c r="B33" s="39" t="s">
        <v>24</v>
      </c>
      <c r="C33" s="77">
        <v>11</v>
      </c>
      <c r="D33" s="25">
        <f>SUMIFS(BarangMasuk[Qty],BarangMasuk[Produk],LaporanStok[[#This Row],[Produk]])</f>
        <v>0</v>
      </c>
      <c r="E33" s="25">
        <f>SUMIFS(BarangKeluar[Qty],BarangKeluar[Produk],LaporanStok[[#This Row],[Produk]])</f>
        <v>0</v>
      </c>
      <c r="F33" s="40">
        <f>LaporanStok[[#This Row],[Awal]]+LaporanStok[[#This Row],[In]]-LaporanStok[[#This Row],[Out]]</f>
        <v>11</v>
      </c>
      <c r="H33" s="30"/>
      <c r="I33" s="124"/>
      <c r="J33" s="30"/>
      <c r="K33" s="30"/>
      <c r="L33" s="30"/>
      <c r="M33" s="104"/>
      <c r="N33" s="61"/>
      <c r="O33" s="61"/>
      <c r="P33" s="30"/>
      <c r="Q33" s="47"/>
      <c r="R33" s="47"/>
      <c r="S33" s="30"/>
    </row>
    <row r="34" spans="2:19" x14ac:dyDescent="0.25">
      <c r="B34" s="39" t="s">
        <v>22</v>
      </c>
      <c r="C34" s="77">
        <v>11</v>
      </c>
      <c r="D34" s="25">
        <f>SUMIFS(BarangMasuk[Qty],BarangMasuk[Produk],LaporanStok[[#This Row],[Produk]])</f>
        <v>0</v>
      </c>
      <c r="E34" s="25">
        <f>SUMIFS(BarangKeluar[Qty],BarangKeluar[Produk],LaporanStok[[#This Row],[Produk]])</f>
        <v>0</v>
      </c>
      <c r="F34" s="40">
        <f>LaporanStok[[#This Row],[Awal]]+LaporanStok[[#This Row],[In]]-LaporanStok[[#This Row],[Out]]</f>
        <v>11</v>
      </c>
      <c r="H34" s="30"/>
      <c r="I34" s="124"/>
      <c r="J34" s="30"/>
      <c r="K34" s="30"/>
      <c r="L34" s="30"/>
      <c r="M34" s="104"/>
      <c r="N34" s="61"/>
      <c r="O34" s="61"/>
      <c r="P34" s="30"/>
      <c r="Q34" s="47"/>
      <c r="R34" s="47"/>
      <c r="S34" s="30"/>
    </row>
    <row r="35" spans="2:19" x14ac:dyDescent="0.25">
      <c r="B35" s="39" t="s">
        <v>34</v>
      </c>
      <c r="C35" s="77">
        <v>5</v>
      </c>
      <c r="D35" s="25">
        <f>SUMIFS(BarangMasuk[Qty],BarangMasuk[Produk],LaporanStok[[#This Row],[Produk]])</f>
        <v>0</v>
      </c>
      <c r="E35" s="25">
        <f>SUMIFS(BarangKeluar[Qty],BarangKeluar[Produk],LaporanStok[[#This Row],[Produk]])</f>
        <v>0</v>
      </c>
      <c r="F35" s="40">
        <f>LaporanStok[[#This Row],[Awal]]+LaporanStok[[#This Row],[In]]-LaporanStok[[#This Row],[Out]]</f>
        <v>5</v>
      </c>
      <c r="H35" s="30"/>
      <c r="I35" s="124"/>
      <c r="J35" s="30"/>
      <c r="K35" s="30"/>
      <c r="L35" s="30"/>
      <c r="M35" s="104"/>
      <c r="N35" s="61"/>
      <c r="O35" s="61"/>
      <c r="P35" s="30"/>
      <c r="Q35" s="47"/>
      <c r="R35" s="47"/>
      <c r="S35" s="30"/>
    </row>
    <row r="36" spans="2:19" x14ac:dyDescent="0.25">
      <c r="B36" s="39" t="s">
        <v>23</v>
      </c>
      <c r="C36" s="77">
        <v>1</v>
      </c>
      <c r="D36" s="25">
        <f>SUMIFS(BarangMasuk[Qty],BarangMasuk[Produk],LaporanStok[[#This Row],[Produk]])</f>
        <v>0</v>
      </c>
      <c r="E36" s="25">
        <f>SUMIFS(BarangKeluar[Qty],BarangKeluar[Produk],LaporanStok[[#This Row],[Produk]])</f>
        <v>0</v>
      </c>
      <c r="F36" s="40">
        <f>LaporanStok[[#This Row],[Awal]]+LaporanStok[[#This Row],[In]]-LaporanStok[[#This Row],[Out]]</f>
        <v>1</v>
      </c>
      <c r="H36" s="30"/>
      <c r="I36" s="124"/>
      <c r="J36" s="30"/>
      <c r="K36" s="30"/>
      <c r="L36" s="30"/>
      <c r="M36" s="104"/>
      <c r="N36" s="61"/>
      <c r="O36" s="61"/>
      <c r="P36" s="30"/>
      <c r="Q36" s="47"/>
      <c r="R36" s="47"/>
      <c r="S36" s="30"/>
    </row>
    <row r="37" spans="2:19" x14ac:dyDescent="0.25">
      <c r="B37" s="39" t="s">
        <v>27</v>
      </c>
      <c r="C37" s="77">
        <v>1</v>
      </c>
      <c r="D37" s="25">
        <f>SUMIFS(BarangMasuk[Qty],BarangMasuk[Produk],LaporanStok[[#This Row],[Produk]])</f>
        <v>0</v>
      </c>
      <c r="E37" s="25">
        <f>SUMIFS(BarangKeluar[Qty],BarangKeluar[Produk],LaporanStok[[#This Row],[Produk]])</f>
        <v>0</v>
      </c>
      <c r="F37" s="40">
        <f>LaporanStok[[#This Row],[Awal]]+LaporanStok[[#This Row],[In]]-LaporanStok[[#This Row],[Out]]</f>
        <v>1</v>
      </c>
      <c r="H37" s="30"/>
      <c r="I37" s="124"/>
      <c r="J37" s="30"/>
      <c r="K37" s="30"/>
      <c r="L37" s="30"/>
      <c r="M37" s="104"/>
      <c r="N37" s="61"/>
      <c r="O37" s="61"/>
      <c r="P37" s="30"/>
      <c r="Q37" s="47"/>
      <c r="R37" s="47"/>
      <c r="S37" s="30"/>
    </row>
    <row r="38" spans="2:19" x14ac:dyDescent="0.25">
      <c r="B38" s="39" t="s">
        <v>98</v>
      </c>
      <c r="C38" s="77">
        <v>3</v>
      </c>
      <c r="D38" s="25">
        <f>SUMIFS(BarangMasuk[Qty],BarangMasuk[Produk],LaporanStok[[#This Row],[Produk]])</f>
        <v>0</v>
      </c>
      <c r="E38" s="25">
        <f>SUMIFS(BarangKeluar[Qty],BarangKeluar[Produk],LaporanStok[[#This Row],[Produk]])</f>
        <v>0</v>
      </c>
      <c r="F38" s="40">
        <f>LaporanStok[[#This Row],[Awal]]+LaporanStok[[#This Row],[In]]-LaporanStok[[#This Row],[Out]]</f>
        <v>3</v>
      </c>
      <c r="H38" s="30"/>
      <c r="I38" s="124"/>
      <c r="J38" s="30"/>
      <c r="K38" s="30"/>
      <c r="L38" s="30"/>
      <c r="M38" s="104"/>
      <c r="N38" s="61"/>
      <c r="O38" s="61"/>
      <c r="P38" s="30"/>
      <c r="Q38" s="47"/>
      <c r="R38" s="47"/>
      <c r="S38" s="30"/>
    </row>
    <row r="39" spans="2:19" x14ac:dyDescent="0.25">
      <c r="B39" s="39" t="s">
        <v>99</v>
      </c>
      <c r="C39" s="77">
        <v>0</v>
      </c>
      <c r="D39" s="25">
        <f>SUMIFS(BarangMasuk[Qty],BarangMasuk[Produk],LaporanStok[[#This Row],[Produk]])</f>
        <v>0</v>
      </c>
      <c r="E39" s="25">
        <f>SUMIFS(BarangKeluar[Qty],BarangKeluar[Produk],LaporanStok[[#This Row],[Produk]])</f>
        <v>0</v>
      </c>
      <c r="F39" s="40">
        <f>LaporanStok[[#This Row],[Awal]]+LaporanStok[[#This Row],[In]]-LaporanStok[[#This Row],[Out]]</f>
        <v>0</v>
      </c>
      <c r="H39" s="30"/>
      <c r="I39" s="124"/>
      <c r="J39" s="30"/>
      <c r="K39" s="30"/>
      <c r="L39" s="30"/>
      <c r="M39" s="104"/>
      <c r="N39" s="61"/>
      <c r="O39" s="61"/>
      <c r="P39" s="30"/>
      <c r="Q39" s="47"/>
      <c r="R39" s="47"/>
      <c r="S39" s="30"/>
    </row>
    <row r="40" spans="2:19" x14ac:dyDescent="0.25">
      <c r="B40" s="39" t="s">
        <v>100</v>
      </c>
      <c r="C40" s="77">
        <v>0</v>
      </c>
      <c r="D40" s="25">
        <f>SUMIFS(BarangMasuk[Qty],BarangMasuk[Produk],LaporanStok[[#This Row],[Produk]])</f>
        <v>0</v>
      </c>
      <c r="E40" s="25">
        <f>SUMIFS(BarangKeluar[Qty],BarangKeluar[Produk],LaporanStok[[#This Row],[Produk]])</f>
        <v>0</v>
      </c>
      <c r="F40" s="40">
        <f>LaporanStok[[#This Row],[Awal]]+LaporanStok[[#This Row],[In]]-LaporanStok[[#This Row],[Out]]</f>
        <v>0</v>
      </c>
      <c r="H40" s="30"/>
      <c r="I40" s="124"/>
      <c r="J40" s="30"/>
      <c r="K40" s="30"/>
      <c r="L40" s="30"/>
      <c r="M40" s="104"/>
      <c r="N40" s="61"/>
      <c r="O40" s="61"/>
      <c r="P40" s="30"/>
      <c r="Q40" s="47"/>
      <c r="R40" s="47"/>
      <c r="S40" s="30"/>
    </row>
    <row r="41" spans="2:19" x14ac:dyDescent="0.25">
      <c r="B41" s="39" t="s">
        <v>15</v>
      </c>
      <c r="C41" s="77">
        <v>2</v>
      </c>
      <c r="D41" s="25">
        <f>SUMIFS(BarangMasuk[Qty],BarangMasuk[Produk],LaporanStok[[#This Row],[Produk]])</f>
        <v>0</v>
      </c>
      <c r="E41" s="25">
        <f>SUMIFS(BarangKeluar[Qty],BarangKeluar[Produk],LaporanStok[[#This Row],[Produk]])</f>
        <v>0</v>
      </c>
      <c r="F41" s="40">
        <f>LaporanStok[[#This Row],[Awal]]+LaporanStok[[#This Row],[In]]-LaporanStok[[#This Row],[Out]]</f>
        <v>2</v>
      </c>
      <c r="H41" s="30"/>
      <c r="I41" s="124"/>
      <c r="J41" s="30"/>
      <c r="K41" s="30"/>
      <c r="L41" s="30"/>
      <c r="M41" s="104"/>
      <c r="N41" s="61"/>
      <c r="O41" s="61"/>
      <c r="P41" s="30"/>
      <c r="Q41" s="47"/>
      <c r="R41" s="47"/>
      <c r="S41" s="30"/>
    </row>
    <row r="42" spans="2:19" x14ac:dyDescent="0.25">
      <c r="B42" s="39" t="s">
        <v>101</v>
      </c>
      <c r="C42" s="77">
        <v>0</v>
      </c>
      <c r="D42" s="25">
        <f>SUMIFS(BarangMasuk[Qty],BarangMasuk[Produk],LaporanStok[[#This Row],[Produk]])</f>
        <v>0</v>
      </c>
      <c r="E42" s="25">
        <f>SUMIFS(BarangKeluar[Qty],BarangKeluar[Produk],LaporanStok[[#This Row],[Produk]])</f>
        <v>0</v>
      </c>
      <c r="F42" s="40">
        <f>LaporanStok[[#This Row],[Awal]]+LaporanStok[[#This Row],[In]]-LaporanStok[[#This Row],[Out]]</f>
        <v>0</v>
      </c>
      <c r="H42" s="30"/>
      <c r="I42" s="124"/>
      <c r="J42" s="30"/>
      <c r="K42" s="30"/>
      <c r="L42" s="30"/>
      <c r="M42" s="104"/>
      <c r="N42" s="61"/>
      <c r="O42" s="61"/>
      <c r="P42" s="30"/>
      <c r="Q42" s="47"/>
      <c r="R42" s="47"/>
      <c r="S42" s="30"/>
    </row>
    <row r="43" spans="2:19" x14ac:dyDescent="0.25">
      <c r="B43" s="39" t="s">
        <v>102</v>
      </c>
      <c r="C43" s="77">
        <v>5</v>
      </c>
      <c r="D43" s="25">
        <f>SUMIFS(BarangMasuk[Qty],BarangMasuk[Produk],LaporanStok[[#This Row],[Produk]])</f>
        <v>0</v>
      </c>
      <c r="E43" s="25">
        <f>SUMIFS(BarangKeluar[Qty],BarangKeluar[Produk],LaporanStok[[#This Row],[Produk]])</f>
        <v>0</v>
      </c>
      <c r="F43" s="40">
        <f>LaporanStok[[#This Row],[Awal]]+LaporanStok[[#This Row],[In]]-LaporanStok[[#This Row],[Out]]</f>
        <v>5</v>
      </c>
      <c r="H43" s="30"/>
      <c r="I43" s="124"/>
      <c r="J43" s="30"/>
      <c r="K43" s="30"/>
      <c r="L43" s="30"/>
      <c r="M43" s="104"/>
      <c r="N43" s="61"/>
      <c r="O43" s="61"/>
      <c r="P43" s="30"/>
      <c r="Q43" s="47"/>
      <c r="R43" s="47"/>
      <c r="S43" s="30"/>
    </row>
    <row r="44" spans="2:19" x14ac:dyDescent="0.25">
      <c r="B44" s="39" t="s">
        <v>103</v>
      </c>
      <c r="C44" s="77">
        <v>0</v>
      </c>
      <c r="D44" s="25">
        <f>SUMIFS(BarangMasuk[Qty],BarangMasuk[Produk],LaporanStok[[#This Row],[Produk]])</f>
        <v>0</v>
      </c>
      <c r="E44" s="25">
        <f>SUMIFS(BarangKeluar[Qty],BarangKeluar[Produk],LaporanStok[[#This Row],[Produk]])</f>
        <v>0</v>
      </c>
      <c r="F44" s="40">
        <f>LaporanStok[[#This Row],[Awal]]+LaporanStok[[#This Row],[In]]-LaporanStok[[#This Row],[Out]]</f>
        <v>0</v>
      </c>
      <c r="H44" s="30"/>
      <c r="I44" s="124"/>
      <c r="J44" s="30"/>
      <c r="K44" s="30"/>
      <c r="L44" s="30"/>
      <c r="M44" s="104"/>
      <c r="N44" s="61"/>
      <c r="O44" s="61"/>
      <c r="P44" s="30"/>
      <c r="Q44" s="47"/>
      <c r="R44" s="47"/>
      <c r="S44" s="30"/>
    </row>
    <row r="45" spans="2:19" x14ac:dyDescent="0.25">
      <c r="B45" s="39" t="s">
        <v>104</v>
      </c>
      <c r="C45" s="77">
        <v>0</v>
      </c>
      <c r="D45" s="25">
        <f>SUMIFS(BarangMasuk[Qty],BarangMasuk[Produk],LaporanStok[[#This Row],[Produk]])</f>
        <v>0</v>
      </c>
      <c r="E45" s="25">
        <f>SUMIFS(BarangKeluar[Qty],BarangKeluar[Produk],LaporanStok[[#This Row],[Produk]])</f>
        <v>0</v>
      </c>
      <c r="F45" s="40">
        <f>LaporanStok[[#This Row],[Awal]]+LaporanStok[[#This Row],[In]]-LaporanStok[[#This Row],[Out]]</f>
        <v>0</v>
      </c>
      <c r="H45" s="30"/>
      <c r="I45" s="124"/>
      <c r="J45" s="30"/>
      <c r="K45" s="30"/>
      <c r="L45" s="30"/>
      <c r="M45" s="104"/>
      <c r="N45" s="61"/>
      <c r="O45" s="61"/>
      <c r="P45" s="30"/>
      <c r="Q45" s="47"/>
      <c r="R45" s="47"/>
      <c r="S45" s="30"/>
    </row>
    <row r="46" spans="2:19" x14ac:dyDescent="0.25">
      <c r="B46" s="39" t="s">
        <v>58</v>
      </c>
      <c r="C46" s="77">
        <v>0</v>
      </c>
      <c r="D46" s="25">
        <f>SUMIFS(BarangMasuk[Qty],BarangMasuk[Produk],LaporanStok[[#This Row],[Produk]])</f>
        <v>0</v>
      </c>
      <c r="E46" s="25">
        <f>SUMIFS(BarangKeluar[Qty],BarangKeluar[Produk],LaporanStok[[#This Row],[Produk]])</f>
        <v>0</v>
      </c>
      <c r="F46" s="40">
        <f>LaporanStok[[#This Row],[Awal]]+LaporanStok[[#This Row],[In]]-LaporanStok[[#This Row],[Out]]</f>
        <v>0</v>
      </c>
      <c r="H46" s="30"/>
      <c r="I46" s="124"/>
      <c r="J46" s="30"/>
      <c r="K46" s="30"/>
      <c r="L46" s="30"/>
      <c r="M46" s="104"/>
      <c r="N46" s="61"/>
      <c r="O46" s="61"/>
      <c r="P46" s="30"/>
      <c r="Q46" s="47"/>
      <c r="R46" s="47"/>
      <c r="S46" s="30"/>
    </row>
    <row r="47" spans="2:19" x14ac:dyDescent="0.25">
      <c r="B47" s="39" t="s">
        <v>105</v>
      </c>
      <c r="C47" s="77">
        <v>0</v>
      </c>
      <c r="D47" s="25">
        <f>SUMIFS(BarangMasuk[Qty],BarangMasuk[Produk],LaporanStok[[#This Row],[Produk]])</f>
        <v>0</v>
      </c>
      <c r="E47" s="25">
        <f>SUMIFS(BarangKeluar[Qty],BarangKeluar[Produk],LaporanStok[[#This Row],[Produk]])</f>
        <v>0</v>
      </c>
      <c r="F47" s="40">
        <f>LaporanStok[[#This Row],[Awal]]+LaporanStok[[#This Row],[In]]-LaporanStok[[#This Row],[Out]]</f>
        <v>0</v>
      </c>
      <c r="H47" s="30"/>
      <c r="I47" s="124"/>
      <c r="J47" s="30"/>
      <c r="K47" s="30"/>
      <c r="L47" s="30"/>
      <c r="M47" s="104"/>
      <c r="N47" s="61"/>
      <c r="O47" s="61"/>
      <c r="P47" s="30"/>
      <c r="Q47" s="47"/>
      <c r="R47" s="47"/>
      <c r="S47" s="30"/>
    </row>
    <row r="48" spans="2:19" x14ac:dyDescent="0.25">
      <c r="B48" s="39" t="s">
        <v>106</v>
      </c>
      <c r="C48" s="77">
        <v>0</v>
      </c>
      <c r="D48" s="25">
        <f>SUMIFS(BarangMasuk[Qty],BarangMasuk[Produk],LaporanStok[[#This Row],[Produk]])</f>
        <v>0</v>
      </c>
      <c r="E48" s="25">
        <f>SUMIFS(BarangKeluar[Qty],BarangKeluar[Produk],LaporanStok[[#This Row],[Produk]])</f>
        <v>0</v>
      </c>
      <c r="F48" s="40">
        <f>LaporanStok[[#This Row],[Awal]]+LaporanStok[[#This Row],[In]]-LaporanStok[[#This Row],[Out]]</f>
        <v>0</v>
      </c>
      <c r="H48" s="30"/>
      <c r="I48" s="124"/>
      <c r="J48" s="30"/>
      <c r="K48" s="30"/>
      <c r="L48" s="30"/>
      <c r="M48" s="104"/>
      <c r="N48" s="61"/>
      <c r="O48" s="61"/>
      <c r="P48" s="30"/>
      <c r="Q48" s="47"/>
      <c r="R48" s="47"/>
      <c r="S48" s="30"/>
    </row>
    <row r="49" spans="2:19" x14ac:dyDescent="0.25">
      <c r="B49" s="39" t="s">
        <v>107</v>
      </c>
      <c r="C49" s="77">
        <v>0</v>
      </c>
      <c r="D49" s="25">
        <f>SUMIFS(BarangMasuk[Qty],BarangMasuk[Produk],LaporanStok[[#This Row],[Produk]])</f>
        <v>0</v>
      </c>
      <c r="E49" s="25">
        <f>SUMIFS(BarangKeluar[Qty],BarangKeluar[Produk],LaporanStok[[#This Row],[Produk]])</f>
        <v>0</v>
      </c>
      <c r="F49" s="40">
        <f>LaporanStok[[#This Row],[Awal]]+LaporanStok[[#This Row],[In]]-LaporanStok[[#This Row],[Out]]</f>
        <v>0</v>
      </c>
      <c r="H49" s="30"/>
      <c r="I49" s="124"/>
      <c r="J49" s="30"/>
      <c r="K49" s="30"/>
      <c r="L49" s="30"/>
      <c r="M49" s="104"/>
      <c r="N49" s="61"/>
      <c r="O49" s="61"/>
      <c r="P49" s="30"/>
      <c r="Q49" s="47"/>
      <c r="R49" s="47"/>
      <c r="S49" s="30"/>
    </row>
    <row r="50" spans="2:19" x14ac:dyDescent="0.25">
      <c r="B50" s="39" t="s">
        <v>108</v>
      </c>
      <c r="C50" s="77">
        <v>0</v>
      </c>
      <c r="D50" s="25">
        <f>SUMIFS(BarangMasuk[Qty],BarangMasuk[Produk],LaporanStok[[#This Row],[Produk]])</f>
        <v>0</v>
      </c>
      <c r="E50" s="25">
        <f>SUMIFS(BarangKeluar[Qty],BarangKeluar[Produk],LaporanStok[[#This Row],[Produk]])</f>
        <v>0</v>
      </c>
      <c r="F50" s="40">
        <f>LaporanStok[[#This Row],[Awal]]+LaporanStok[[#This Row],[In]]-LaporanStok[[#This Row],[Out]]</f>
        <v>0</v>
      </c>
      <c r="H50" s="30"/>
      <c r="I50" s="124"/>
      <c r="J50" s="30"/>
      <c r="K50" s="30"/>
      <c r="L50" s="30"/>
      <c r="M50" s="104"/>
      <c r="N50" s="61"/>
      <c r="O50" s="61"/>
      <c r="P50" s="30"/>
      <c r="Q50" s="47"/>
      <c r="R50" s="47"/>
      <c r="S50" s="30"/>
    </row>
    <row r="51" spans="2:19" x14ac:dyDescent="0.25">
      <c r="B51" s="39" t="s">
        <v>109</v>
      </c>
      <c r="C51" s="77">
        <v>0</v>
      </c>
      <c r="D51" s="25">
        <f>SUMIFS(BarangMasuk[Qty],BarangMasuk[Produk],LaporanStok[[#This Row],[Produk]])</f>
        <v>0</v>
      </c>
      <c r="E51" s="25">
        <f>SUMIFS(BarangKeluar[Qty],BarangKeluar[Produk],LaporanStok[[#This Row],[Produk]])</f>
        <v>0</v>
      </c>
      <c r="F51" s="40">
        <f>LaporanStok[[#This Row],[Awal]]+LaporanStok[[#This Row],[In]]-LaporanStok[[#This Row],[Out]]</f>
        <v>0</v>
      </c>
      <c r="H51" s="30"/>
      <c r="I51" s="124"/>
      <c r="J51" s="30"/>
      <c r="K51" s="30"/>
      <c r="L51" s="30"/>
      <c r="M51" s="104"/>
      <c r="N51" s="61"/>
      <c r="O51" s="61"/>
      <c r="P51" s="30"/>
      <c r="Q51" s="47"/>
      <c r="R51" s="47"/>
      <c r="S51" s="30"/>
    </row>
    <row r="52" spans="2:19" x14ac:dyDescent="0.25">
      <c r="B52" s="39" t="s">
        <v>110</v>
      </c>
      <c r="C52" s="77">
        <v>0</v>
      </c>
      <c r="D52" s="25">
        <f>SUMIFS(BarangMasuk[Qty],BarangMasuk[Produk],LaporanStok[[#This Row],[Produk]])</f>
        <v>0</v>
      </c>
      <c r="E52" s="25">
        <f>SUMIFS(BarangKeluar[Qty],BarangKeluar[Produk],LaporanStok[[#This Row],[Produk]])</f>
        <v>0</v>
      </c>
      <c r="F52" s="40">
        <f>LaporanStok[[#This Row],[Awal]]+LaporanStok[[#This Row],[In]]-LaporanStok[[#This Row],[Out]]</f>
        <v>0</v>
      </c>
      <c r="H52" s="30"/>
      <c r="I52" s="124"/>
      <c r="J52" s="30"/>
      <c r="K52" s="30"/>
      <c r="L52" s="30"/>
      <c r="M52" s="104"/>
      <c r="N52" s="61"/>
      <c r="O52" s="61"/>
      <c r="P52" s="30"/>
      <c r="Q52" s="47"/>
      <c r="R52" s="47"/>
      <c r="S52" s="30"/>
    </row>
    <row r="53" spans="2:19" x14ac:dyDescent="0.25">
      <c r="B53" s="39" t="s">
        <v>50</v>
      </c>
      <c r="C53" s="77">
        <v>0</v>
      </c>
      <c r="D53" s="25">
        <f>SUMIFS(BarangMasuk[Qty],BarangMasuk[Produk],LaporanStok[[#This Row],[Produk]])</f>
        <v>0</v>
      </c>
      <c r="E53" s="25">
        <f>SUMIFS(BarangKeluar[Qty],BarangKeluar[Produk],LaporanStok[[#This Row],[Produk]])</f>
        <v>0</v>
      </c>
      <c r="F53" s="40">
        <f>LaporanStok[[#This Row],[Awal]]+LaporanStok[[#This Row],[In]]-LaporanStok[[#This Row],[Out]]</f>
        <v>0</v>
      </c>
      <c r="H53" s="30"/>
      <c r="I53" s="124"/>
      <c r="J53" s="30"/>
      <c r="K53" s="30"/>
      <c r="L53" s="30"/>
      <c r="M53" s="104"/>
      <c r="N53" s="61"/>
      <c r="O53" s="61"/>
      <c r="P53" s="30"/>
      <c r="Q53" s="47"/>
      <c r="R53" s="47"/>
      <c r="S53" s="30"/>
    </row>
    <row r="54" spans="2:19" x14ac:dyDescent="0.25">
      <c r="B54" s="39" t="s">
        <v>37</v>
      </c>
      <c r="C54" s="77">
        <v>0</v>
      </c>
      <c r="D54" s="25">
        <f>SUMIFS(BarangMasuk[Qty],BarangMasuk[Produk],LaporanStok[[#This Row],[Produk]])</f>
        <v>0</v>
      </c>
      <c r="E54" s="25">
        <f>SUMIFS(BarangKeluar[Qty],BarangKeluar[Produk],LaporanStok[[#This Row],[Produk]])</f>
        <v>0</v>
      </c>
      <c r="F54" s="40">
        <f>LaporanStok[[#This Row],[Awal]]+LaporanStok[[#This Row],[In]]-LaporanStok[[#This Row],[Out]]</f>
        <v>0</v>
      </c>
      <c r="H54" s="30"/>
      <c r="I54" s="124"/>
      <c r="J54" s="30"/>
      <c r="K54" s="30"/>
      <c r="L54" s="30"/>
      <c r="M54" s="104"/>
      <c r="N54" s="61"/>
      <c r="O54" s="61"/>
      <c r="P54" s="30"/>
      <c r="Q54" s="47"/>
      <c r="R54" s="47"/>
      <c r="S54" s="30"/>
    </row>
    <row r="55" spans="2:19" x14ac:dyDescent="0.25">
      <c r="B55" s="39" t="s">
        <v>111</v>
      </c>
      <c r="C55" s="77">
        <v>0</v>
      </c>
      <c r="D55" s="25">
        <f>SUMIFS(BarangMasuk[Qty],BarangMasuk[Produk],LaporanStok[[#This Row],[Produk]])</f>
        <v>0</v>
      </c>
      <c r="E55" s="25">
        <f>SUMIFS(BarangKeluar[Qty],BarangKeluar[Produk],LaporanStok[[#This Row],[Produk]])</f>
        <v>0</v>
      </c>
      <c r="F55" s="40">
        <f>LaporanStok[[#This Row],[Awal]]+LaporanStok[[#This Row],[In]]-LaporanStok[[#This Row],[Out]]</f>
        <v>0</v>
      </c>
      <c r="H55" s="30"/>
      <c r="I55" s="124"/>
      <c r="J55" s="30"/>
      <c r="K55" s="30"/>
      <c r="L55" s="30"/>
      <c r="M55" s="104"/>
      <c r="N55" s="61"/>
      <c r="O55" s="61"/>
      <c r="P55" s="30"/>
      <c r="Q55" s="47"/>
      <c r="R55" s="47"/>
      <c r="S55" s="30"/>
    </row>
    <row r="56" spans="2:19" x14ac:dyDescent="0.25">
      <c r="B56" s="39" t="s">
        <v>51</v>
      </c>
      <c r="C56" s="77">
        <v>0</v>
      </c>
      <c r="D56" s="25">
        <f>SUMIFS(BarangMasuk[Qty],BarangMasuk[Produk],LaporanStok[[#This Row],[Produk]])</f>
        <v>0</v>
      </c>
      <c r="E56" s="25">
        <f>SUMIFS(BarangKeluar[Qty],BarangKeluar[Produk],LaporanStok[[#This Row],[Produk]])</f>
        <v>0</v>
      </c>
      <c r="F56" s="40">
        <f>LaporanStok[[#This Row],[Awal]]+LaporanStok[[#This Row],[In]]-LaporanStok[[#This Row],[Out]]</f>
        <v>0</v>
      </c>
      <c r="H56" s="30"/>
      <c r="I56" s="124"/>
      <c r="J56" s="30"/>
      <c r="K56" s="30"/>
      <c r="L56" s="30"/>
      <c r="M56" s="104"/>
      <c r="N56" s="61"/>
      <c r="O56" s="61"/>
      <c r="P56" s="30"/>
      <c r="Q56" s="47"/>
      <c r="R56" s="47"/>
      <c r="S56" s="30"/>
    </row>
    <row r="57" spans="2:19" x14ac:dyDescent="0.25">
      <c r="B57" s="39" t="s">
        <v>112</v>
      </c>
      <c r="C57" s="77">
        <v>0</v>
      </c>
      <c r="D57" s="25">
        <f>SUMIFS(BarangMasuk[Qty],BarangMasuk[Produk],LaporanStok[[#This Row],[Produk]])</f>
        <v>0</v>
      </c>
      <c r="E57" s="25">
        <f>SUMIFS(BarangKeluar[Qty],BarangKeluar[Produk],LaporanStok[[#This Row],[Produk]])</f>
        <v>0</v>
      </c>
      <c r="F57" s="40">
        <f>LaporanStok[[#This Row],[Awal]]+LaporanStok[[#This Row],[In]]-LaporanStok[[#This Row],[Out]]</f>
        <v>0</v>
      </c>
      <c r="H57" s="30"/>
      <c r="I57" s="124"/>
      <c r="J57" s="30"/>
      <c r="K57" s="30"/>
      <c r="L57" s="30"/>
      <c r="M57" s="104"/>
      <c r="N57" s="61"/>
      <c r="O57" s="61"/>
      <c r="P57" s="30"/>
      <c r="Q57" s="47"/>
      <c r="R57" s="47"/>
      <c r="S57" s="30"/>
    </row>
    <row r="58" spans="2:19" x14ac:dyDescent="0.25">
      <c r="B58" s="39" t="s">
        <v>49</v>
      </c>
      <c r="C58" s="77">
        <v>0</v>
      </c>
      <c r="D58" s="25">
        <f>SUMIFS(BarangMasuk[Qty],BarangMasuk[Produk],LaporanStok[[#This Row],[Produk]])</f>
        <v>0</v>
      </c>
      <c r="E58" s="25">
        <f>SUMIFS(BarangKeluar[Qty],BarangKeluar[Produk],LaporanStok[[#This Row],[Produk]])</f>
        <v>0</v>
      </c>
      <c r="F58" s="40">
        <f>LaporanStok[[#This Row],[Awal]]+LaporanStok[[#This Row],[In]]-LaporanStok[[#This Row],[Out]]</f>
        <v>0</v>
      </c>
      <c r="H58" s="30"/>
      <c r="I58" s="124"/>
      <c r="J58" s="30"/>
      <c r="K58" s="30"/>
      <c r="L58" s="30"/>
      <c r="M58" s="104"/>
      <c r="N58" s="61"/>
      <c r="O58" s="61"/>
      <c r="P58" s="30"/>
      <c r="Q58" s="47"/>
      <c r="R58" s="47"/>
      <c r="S58" s="30"/>
    </row>
    <row r="59" spans="2:19" x14ac:dyDescent="0.25">
      <c r="B59" s="39" t="s">
        <v>113</v>
      </c>
      <c r="C59" s="77">
        <v>0</v>
      </c>
      <c r="D59" s="25">
        <f>SUMIFS(BarangMasuk[Qty],BarangMasuk[Produk],LaporanStok[[#This Row],[Produk]])</f>
        <v>0</v>
      </c>
      <c r="E59" s="25">
        <f>SUMIFS(BarangKeluar[Qty],BarangKeluar[Produk],LaporanStok[[#This Row],[Produk]])</f>
        <v>0</v>
      </c>
      <c r="F59" s="40">
        <f>LaporanStok[[#This Row],[Awal]]+LaporanStok[[#This Row],[In]]-LaporanStok[[#This Row],[Out]]</f>
        <v>0</v>
      </c>
      <c r="H59" s="30"/>
      <c r="I59" s="124"/>
      <c r="J59" s="30"/>
      <c r="K59" s="30"/>
      <c r="L59" s="30"/>
      <c r="M59" s="104"/>
      <c r="N59" s="61"/>
      <c r="O59" s="61"/>
      <c r="P59" s="30"/>
      <c r="Q59" s="47"/>
      <c r="R59" s="47"/>
      <c r="S59" s="30"/>
    </row>
    <row r="60" spans="2:19" x14ac:dyDescent="0.25">
      <c r="B60" s="39" t="s">
        <v>52</v>
      </c>
      <c r="C60" s="77">
        <v>0</v>
      </c>
      <c r="D60" s="25">
        <f>SUMIFS(BarangMasuk[Qty],BarangMasuk[Produk],LaporanStok[[#This Row],[Produk]])</f>
        <v>0</v>
      </c>
      <c r="E60" s="25">
        <f>SUMIFS(BarangKeluar[Qty],BarangKeluar[Produk],LaporanStok[[#This Row],[Produk]])</f>
        <v>0</v>
      </c>
      <c r="F60" s="40">
        <f>LaporanStok[[#This Row],[Awal]]+LaporanStok[[#This Row],[In]]-LaporanStok[[#This Row],[Out]]</f>
        <v>0</v>
      </c>
      <c r="H60" s="30"/>
      <c r="I60" s="124"/>
      <c r="J60" s="30"/>
      <c r="K60" s="30"/>
      <c r="L60" s="30"/>
      <c r="M60" s="104"/>
      <c r="N60" s="61"/>
      <c r="O60" s="61"/>
      <c r="P60" s="30"/>
      <c r="Q60" s="47"/>
      <c r="R60" s="47"/>
      <c r="S60" s="30"/>
    </row>
    <row r="61" spans="2:19" x14ac:dyDescent="0.25">
      <c r="B61" s="39" t="s">
        <v>17</v>
      </c>
      <c r="C61" s="77">
        <v>0</v>
      </c>
      <c r="D61" s="25">
        <f>SUMIFS(BarangMasuk[Qty],BarangMasuk[Produk],LaporanStok[[#This Row],[Produk]])</f>
        <v>0</v>
      </c>
      <c r="E61" s="25">
        <f>SUMIFS(BarangKeluar[Qty],BarangKeluar[Produk],LaporanStok[[#This Row],[Produk]])</f>
        <v>0</v>
      </c>
      <c r="F61" s="40">
        <f>LaporanStok[[#This Row],[Awal]]+LaporanStok[[#This Row],[In]]-LaporanStok[[#This Row],[Out]]</f>
        <v>0</v>
      </c>
      <c r="H61" s="30"/>
      <c r="I61" s="124"/>
      <c r="J61" s="30"/>
      <c r="K61" s="30"/>
      <c r="L61" s="30"/>
      <c r="M61" s="104"/>
      <c r="N61" s="61"/>
      <c r="O61" s="61"/>
      <c r="P61" s="30"/>
      <c r="Q61" s="47"/>
      <c r="R61" s="47"/>
      <c r="S61" s="30"/>
    </row>
    <row r="62" spans="2:19" x14ac:dyDescent="0.25">
      <c r="B62" s="39" t="s">
        <v>114</v>
      </c>
      <c r="C62" s="77">
        <v>0</v>
      </c>
      <c r="D62" s="25">
        <f>SUMIFS(BarangMasuk[Qty],BarangMasuk[Produk],LaporanStok[[#This Row],[Produk]])</f>
        <v>0</v>
      </c>
      <c r="E62" s="25">
        <f>SUMIFS(BarangKeluar[Qty],BarangKeluar[Produk],LaporanStok[[#This Row],[Produk]])</f>
        <v>0</v>
      </c>
      <c r="F62" s="40">
        <f>LaporanStok[[#This Row],[Awal]]+LaporanStok[[#This Row],[In]]-LaporanStok[[#This Row],[Out]]</f>
        <v>0</v>
      </c>
      <c r="H62" s="30"/>
      <c r="I62" s="124"/>
      <c r="J62" s="30"/>
      <c r="K62" s="30"/>
      <c r="L62" s="30"/>
      <c r="M62" s="104"/>
      <c r="N62" s="61"/>
      <c r="O62" s="61"/>
      <c r="P62" s="30"/>
      <c r="Q62" s="47"/>
      <c r="R62" s="47"/>
      <c r="S62" s="30"/>
    </row>
    <row r="63" spans="2:19" x14ac:dyDescent="0.25">
      <c r="B63" s="39" t="s">
        <v>115</v>
      </c>
      <c r="C63" s="77">
        <v>5</v>
      </c>
      <c r="D63" s="25">
        <f>SUMIFS(BarangMasuk[Qty],BarangMasuk[Produk],LaporanStok[[#This Row],[Produk]])</f>
        <v>0</v>
      </c>
      <c r="E63" s="25">
        <f>SUMIFS(BarangKeluar[Qty],BarangKeluar[Produk],LaporanStok[[#This Row],[Produk]])</f>
        <v>0</v>
      </c>
      <c r="F63" s="40">
        <f>LaporanStok[[#This Row],[Awal]]+LaporanStok[[#This Row],[In]]-LaporanStok[[#This Row],[Out]]</f>
        <v>5</v>
      </c>
      <c r="H63" s="30"/>
      <c r="I63" s="124"/>
      <c r="J63" s="30"/>
      <c r="K63" s="30"/>
      <c r="L63" s="30"/>
      <c r="M63" s="104"/>
      <c r="N63" s="61"/>
      <c r="O63" s="61"/>
      <c r="P63" s="30"/>
      <c r="Q63" s="47"/>
      <c r="R63" s="47"/>
      <c r="S63" s="30"/>
    </row>
    <row r="64" spans="2:19" x14ac:dyDescent="0.25">
      <c r="B64" s="39" t="s">
        <v>116</v>
      </c>
      <c r="C64" s="77">
        <v>0</v>
      </c>
      <c r="D64" s="25">
        <f>SUMIFS(BarangMasuk[Qty],BarangMasuk[Produk],LaporanStok[[#This Row],[Produk]])</f>
        <v>0</v>
      </c>
      <c r="E64" s="25">
        <f>SUMIFS(BarangKeluar[Qty],BarangKeluar[Produk],LaporanStok[[#This Row],[Produk]])</f>
        <v>0</v>
      </c>
      <c r="F64" s="40">
        <f>LaporanStok[[#This Row],[Awal]]+LaporanStok[[#This Row],[In]]-LaporanStok[[#This Row],[Out]]</f>
        <v>0</v>
      </c>
      <c r="H64" s="30"/>
      <c r="I64" s="124"/>
      <c r="J64" s="30"/>
      <c r="K64" s="30"/>
      <c r="L64" s="30"/>
      <c r="M64" s="104"/>
      <c r="N64" s="61"/>
      <c r="O64" s="61"/>
      <c r="P64" s="30"/>
      <c r="Q64" s="47"/>
      <c r="R64" s="47"/>
      <c r="S64" s="30"/>
    </row>
    <row r="65" spans="2:19" x14ac:dyDescent="0.25">
      <c r="B65" s="39" t="s">
        <v>117</v>
      </c>
      <c r="C65" s="77">
        <v>0</v>
      </c>
      <c r="D65" s="25">
        <f>SUMIFS(BarangMasuk[Qty],BarangMasuk[Produk],LaporanStok[[#This Row],[Produk]])</f>
        <v>0</v>
      </c>
      <c r="E65" s="25">
        <f>SUMIFS(BarangKeluar[Qty],BarangKeluar[Produk],LaporanStok[[#This Row],[Produk]])</f>
        <v>0</v>
      </c>
      <c r="F65" s="40">
        <f>LaporanStok[[#This Row],[Awal]]+LaporanStok[[#This Row],[In]]-LaporanStok[[#This Row],[Out]]</f>
        <v>0</v>
      </c>
      <c r="H65" s="30"/>
      <c r="I65" s="124"/>
      <c r="J65" s="30"/>
      <c r="K65" s="30"/>
      <c r="L65" s="30"/>
      <c r="M65" s="104"/>
      <c r="N65" s="61"/>
      <c r="O65" s="61"/>
      <c r="P65" s="30"/>
      <c r="Q65" s="47"/>
      <c r="R65" s="47"/>
      <c r="S65" s="30"/>
    </row>
    <row r="66" spans="2:19" x14ac:dyDescent="0.25">
      <c r="B66" s="39" t="s">
        <v>118</v>
      </c>
      <c r="C66" s="77">
        <v>0</v>
      </c>
      <c r="D66" s="25">
        <f>SUMIFS(BarangMasuk[Qty],BarangMasuk[Produk],LaporanStok[[#This Row],[Produk]])</f>
        <v>0</v>
      </c>
      <c r="E66" s="25">
        <f>SUMIFS(BarangKeluar[Qty],BarangKeluar[Produk],LaporanStok[[#This Row],[Produk]])</f>
        <v>0</v>
      </c>
      <c r="F66" s="40">
        <f>LaporanStok[[#This Row],[Awal]]+LaporanStok[[#This Row],[In]]-LaporanStok[[#This Row],[Out]]</f>
        <v>0</v>
      </c>
      <c r="H66" s="30"/>
      <c r="I66" s="124"/>
      <c r="J66" s="30"/>
      <c r="K66" s="30"/>
      <c r="L66" s="30"/>
      <c r="M66" s="104"/>
      <c r="N66" s="61"/>
      <c r="O66" s="61"/>
      <c r="P66" s="30"/>
      <c r="Q66" s="47"/>
      <c r="R66" s="47"/>
      <c r="S66" s="30"/>
    </row>
    <row r="67" spans="2:19" x14ac:dyDescent="0.25">
      <c r="B67" s="39" t="s">
        <v>119</v>
      </c>
      <c r="C67" s="77">
        <v>0</v>
      </c>
      <c r="D67" s="25">
        <f>SUMIFS(BarangMasuk[Qty],BarangMasuk[Produk],LaporanStok[[#This Row],[Produk]])</f>
        <v>0</v>
      </c>
      <c r="E67" s="25">
        <f>SUMIFS(BarangKeluar[Qty],BarangKeluar[Produk],LaporanStok[[#This Row],[Produk]])</f>
        <v>0</v>
      </c>
      <c r="F67" s="40">
        <f>LaporanStok[[#This Row],[Awal]]+LaporanStok[[#This Row],[In]]-LaporanStok[[#This Row],[Out]]</f>
        <v>0</v>
      </c>
      <c r="H67" s="30"/>
      <c r="I67" s="124"/>
      <c r="J67" s="30"/>
      <c r="K67" s="30"/>
      <c r="L67" s="30"/>
      <c r="M67" s="104"/>
      <c r="N67" s="61"/>
      <c r="O67" s="61"/>
      <c r="P67" s="30"/>
      <c r="Q67" s="47"/>
      <c r="R67" s="47"/>
      <c r="S67" s="30"/>
    </row>
    <row r="68" spans="2:19" x14ac:dyDescent="0.25">
      <c r="B68" s="39" t="s">
        <v>120</v>
      </c>
      <c r="C68" s="77">
        <v>0</v>
      </c>
      <c r="D68" s="25">
        <f>SUMIFS(BarangMasuk[Qty],BarangMasuk[Produk],LaporanStok[[#This Row],[Produk]])</f>
        <v>0</v>
      </c>
      <c r="E68" s="25">
        <f>SUMIFS(BarangKeluar[Qty],BarangKeluar[Produk],LaporanStok[[#This Row],[Produk]])</f>
        <v>0</v>
      </c>
      <c r="F68" s="40">
        <f>LaporanStok[[#This Row],[Awal]]+LaporanStok[[#This Row],[In]]-LaporanStok[[#This Row],[Out]]</f>
        <v>0</v>
      </c>
      <c r="H68" s="30"/>
      <c r="I68" s="124"/>
      <c r="J68" s="30"/>
      <c r="K68" s="30"/>
      <c r="L68" s="30"/>
      <c r="M68" s="104"/>
      <c r="N68" s="61"/>
      <c r="O68" s="61"/>
      <c r="P68" s="30"/>
      <c r="Q68" s="47"/>
      <c r="R68" s="47"/>
      <c r="S68" s="30"/>
    </row>
    <row r="69" spans="2:19" x14ac:dyDescent="0.25">
      <c r="B69" s="39" t="s">
        <v>121</v>
      </c>
      <c r="C69" s="77">
        <v>0</v>
      </c>
      <c r="D69" s="25">
        <f>SUMIFS(BarangMasuk[Qty],BarangMasuk[Produk],LaporanStok[[#This Row],[Produk]])</f>
        <v>0</v>
      </c>
      <c r="E69" s="25">
        <f>SUMIFS(BarangKeluar[Qty],BarangKeluar[Produk],LaporanStok[[#This Row],[Produk]])</f>
        <v>0</v>
      </c>
      <c r="F69" s="40">
        <f>LaporanStok[[#This Row],[Awal]]+LaporanStok[[#This Row],[In]]-LaporanStok[[#This Row],[Out]]</f>
        <v>0</v>
      </c>
      <c r="H69" s="30"/>
      <c r="I69" s="124"/>
      <c r="J69" s="30"/>
      <c r="K69" s="30"/>
      <c r="L69" s="30"/>
      <c r="M69" s="104"/>
      <c r="N69" s="61"/>
      <c r="O69" s="61"/>
      <c r="P69" s="30"/>
      <c r="Q69" s="47"/>
      <c r="R69" s="47"/>
      <c r="S69" s="30"/>
    </row>
    <row r="70" spans="2:19" x14ac:dyDescent="0.25">
      <c r="B70" s="39" t="s">
        <v>25</v>
      </c>
      <c r="C70" s="77">
        <v>23</v>
      </c>
      <c r="D70" s="25">
        <f>SUMIFS(BarangMasuk[Qty],BarangMasuk[Produk],LaporanStok[[#This Row],[Produk]])</f>
        <v>0</v>
      </c>
      <c r="E70" s="25">
        <f>SUMIFS(BarangKeluar[Qty],BarangKeluar[Produk],LaporanStok[[#This Row],[Produk]])</f>
        <v>0</v>
      </c>
      <c r="F70" s="40">
        <f>LaporanStok[[#This Row],[Awal]]+LaporanStok[[#This Row],[In]]-LaporanStok[[#This Row],[Out]]</f>
        <v>23</v>
      </c>
      <c r="H70" s="30"/>
      <c r="I70" s="124"/>
      <c r="J70" s="30"/>
      <c r="K70" s="30"/>
      <c r="L70" s="30"/>
      <c r="M70" s="104"/>
      <c r="N70" s="61"/>
      <c r="O70" s="61"/>
      <c r="P70" s="30"/>
      <c r="Q70" s="47"/>
      <c r="R70" s="47"/>
      <c r="S70" s="30"/>
    </row>
    <row r="71" spans="2:19" x14ac:dyDescent="0.25">
      <c r="B71" s="39" t="s">
        <v>54</v>
      </c>
      <c r="C71" s="77">
        <v>0</v>
      </c>
      <c r="D71" s="25">
        <f>SUMIFS(BarangMasuk[Qty],BarangMasuk[Produk],LaporanStok[[#This Row],[Produk]])</f>
        <v>0</v>
      </c>
      <c r="E71" s="25">
        <f>SUMIFS(BarangKeluar[Qty],BarangKeluar[Produk],LaporanStok[[#This Row],[Produk]])</f>
        <v>0</v>
      </c>
      <c r="F71" s="40">
        <f>LaporanStok[[#This Row],[Awal]]+LaporanStok[[#This Row],[In]]-LaporanStok[[#This Row],[Out]]</f>
        <v>0</v>
      </c>
      <c r="H71" s="30"/>
      <c r="I71" s="124"/>
      <c r="J71" s="30"/>
      <c r="K71" s="30"/>
      <c r="L71" s="30"/>
      <c r="M71" s="104"/>
      <c r="N71" s="61"/>
      <c r="O71" s="61"/>
      <c r="P71" s="30"/>
      <c r="Q71" s="47"/>
      <c r="R71" s="47"/>
      <c r="S71" s="30"/>
    </row>
    <row r="72" spans="2:19" x14ac:dyDescent="0.25">
      <c r="B72" s="39" t="s">
        <v>31</v>
      </c>
      <c r="C72" s="77">
        <v>13</v>
      </c>
      <c r="D72" s="25">
        <f>SUMIFS(BarangMasuk[Qty],BarangMasuk[Produk],LaporanStok[[#This Row],[Produk]])</f>
        <v>0</v>
      </c>
      <c r="E72" s="25">
        <f>SUMIFS(BarangKeluar[Qty],BarangKeluar[Produk],LaporanStok[[#This Row],[Produk]])</f>
        <v>0</v>
      </c>
      <c r="F72" s="40">
        <f>LaporanStok[[#This Row],[Awal]]+LaporanStok[[#This Row],[In]]-LaporanStok[[#This Row],[Out]]</f>
        <v>13</v>
      </c>
      <c r="H72" s="30"/>
      <c r="I72" s="124"/>
      <c r="J72" s="30"/>
      <c r="K72" s="30"/>
      <c r="L72" s="30"/>
      <c r="M72" s="104"/>
      <c r="N72" s="61"/>
      <c r="O72" s="61"/>
      <c r="P72" s="30"/>
      <c r="Q72" s="47"/>
      <c r="R72" s="47"/>
      <c r="S72" s="30"/>
    </row>
    <row r="73" spans="2:19" x14ac:dyDescent="0.25">
      <c r="B73" s="39" t="s">
        <v>26</v>
      </c>
      <c r="C73" s="77">
        <v>2</v>
      </c>
      <c r="D73" s="25">
        <f>SUMIFS(BarangMasuk[Qty],BarangMasuk[Produk],LaporanStok[[#This Row],[Produk]])</f>
        <v>0</v>
      </c>
      <c r="E73" s="25">
        <f>SUMIFS(BarangKeluar[Qty],BarangKeluar[Produk],LaporanStok[[#This Row],[Produk]])</f>
        <v>0</v>
      </c>
      <c r="F73" s="40">
        <f>LaporanStok[[#This Row],[Awal]]+LaporanStok[[#This Row],[In]]-LaporanStok[[#This Row],[Out]]</f>
        <v>2</v>
      </c>
      <c r="H73" s="30"/>
      <c r="I73" s="124"/>
      <c r="J73" s="30"/>
      <c r="K73" s="30"/>
      <c r="L73" s="30"/>
      <c r="M73" s="104"/>
      <c r="N73" s="61"/>
      <c r="O73" s="61"/>
      <c r="P73" s="30"/>
      <c r="Q73" s="47"/>
      <c r="R73" s="47"/>
      <c r="S73" s="30"/>
    </row>
    <row r="74" spans="2:19" x14ac:dyDescent="0.25">
      <c r="B74" s="39" t="s">
        <v>29</v>
      </c>
      <c r="C74" s="77">
        <v>0</v>
      </c>
      <c r="D74" s="25">
        <f>SUMIFS(BarangMasuk[Qty],BarangMasuk[Produk],LaporanStok[[#This Row],[Produk]])</f>
        <v>0</v>
      </c>
      <c r="E74" s="25">
        <f>SUMIFS(BarangKeluar[Qty],BarangKeluar[Produk],LaporanStok[[#This Row],[Produk]])</f>
        <v>0</v>
      </c>
      <c r="F74" s="40">
        <f>LaporanStok[[#This Row],[Awal]]+LaporanStok[[#This Row],[In]]-LaporanStok[[#This Row],[Out]]</f>
        <v>0</v>
      </c>
      <c r="H74" s="30"/>
      <c r="I74" s="124"/>
      <c r="J74" s="30"/>
      <c r="K74" s="30"/>
      <c r="L74" s="30"/>
      <c r="M74" s="104"/>
      <c r="N74" s="61"/>
      <c r="O74" s="61"/>
      <c r="P74" s="30"/>
      <c r="Q74" s="47"/>
      <c r="R74" s="47"/>
      <c r="S74" s="30"/>
    </row>
    <row r="75" spans="2:19" x14ac:dyDescent="0.25">
      <c r="B75" s="39" t="s">
        <v>122</v>
      </c>
      <c r="C75" s="77">
        <v>0</v>
      </c>
      <c r="D75" s="25">
        <f>SUMIFS(BarangMasuk[Qty],BarangMasuk[Produk],LaporanStok[[#This Row],[Produk]])</f>
        <v>0</v>
      </c>
      <c r="E75" s="25">
        <f>SUMIFS(BarangKeluar[Qty],BarangKeluar[Produk],LaporanStok[[#This Row],[Produk]])</f>
        <v>0</v>
      </c>
      <c r="F75" s="40">
        <f>LaporanStok[[#This Row],[Awal]]+LaporanStok[[#This Row],[In]]-LaporanStok[[#This Row],[Out]]</f>
        <v>0</v>
      </c>
      <c r="H75" s="30"/>
      <c r="I75" s="124"/>
      <c r="J75" s="30"/>
      <c r="K75" s="30"/>
      <c r="L75" s="30"/>
      <c r="M75" s="104"/>
      <c r="N75" s="61"/>
      <c r="O75" s="61"/>
      <c r="P75" s="30"/>
      <c r="Q75" s="47"/>
      <c r="R75" s="47"/>
      <c r="S75" s="30"/>
    </row>
    <row r="76" spans="2:19" x14ac:dyDescent="0.25">
      <c r="B76" s="39" t="s">
        <v>59</v>
      </c>
      <c r="C76" s="77">
        <v>0</v>
      </c>
      <c r="D76" s="25">
        <f>SUMIFS(BarangMasuk[Qty],BarangMasuk[Produk],LaporanStok[[#This Row],[Produk]])</f>
        <v>0</v>
      </c>
      <c r="E76" s="25">
        <f>SUMIFS(BarangKeluar[Qty],BarangKeluar[Produk],LaporanStok[[#This Row],[Produk]])</f>
        <v>0</v>
      </c>
      <c r="F76" s="40">
        <f>LaporanStok[[#This Row],[Awal]]+LaporanStok[[#This Row],[In]]-LaporanStok[[#This Row],[Out]]</f>
        <v>0</v>
      </c>
      <c r="H76" s="30"/>
      <c r="I76" s="124"/>
      <c r="J76" s="30"/>
      <c r="K76" s="30"/>
      <c r="L76" s="30"/>
      <c r="M76" s="104"/>
      <c r="N76" s="61"/>
      <c r="O76" s="61"/>
      <c r="P76" s="30"/>
      <c r="Q76" s="47"/>
      <c r="R76" s="47"/>
      <c r="S76" s="30"/>
    </row>
    <row r="77" spans="2:19" x14ac:dyDescent="0.25">
      <c r="B77" s="39" t="s">
        <v>62</v>
      </c>
      <c r="C77" s="77">
        <v>0</v>
      </c>
      <c r="D77" s="25">
        <f>SUMIFS(BarangMasuk[Qty],BarangMasuk[Produk],LaporanStok[[#This Row],[Produk]])</f>
        <v>0</v>
      </c>
      <c r="E77" s="25">
        <f>SUMIFS(BarangKeluar[Qty],BarangKeluar[Produk],LaporanStok[[#This Row],[Produk]])</f>
        <v>0</v>
      </c>
      <c r="F77" s="40">
        <f>LaporanStok[[#This Row],[Awal]]+LaporanStok[[#This Row],[In]]-LaporanStok[[#This Row],[Out]]</f>
        <v>0</v>
      </c>
      <c r="H77" s="30"/>
      <c r="I77" s="124"/>
      <c r="J77" s="30"/>
      <c r="K77" s="30"/>
      <c r="L77" s="30"/>
      <c r="M77" s="104"/>
      <c r="N77" s="61"/>
      <c r="O77" s="61"/>
      <c r="P77" s="30"/>
      <c r="Q77" s="47"/>
      <c r="R77" s="47"/>
      <c r="S77" s="30"/>
    </row>
    <row r="78" spans="2:19" x14ac:dyDescent="0.25">
      <c r="B78" s="39" t="s">
        <v>18</v>
      </c>
      <c r="C78" s="77">
        <v>0</v>
      </c>
      <c r="D78" s="25">
        <f>SUMIFS(BarangMasuk[Qty],BarangMasuk[Produk],LaporanStok[[#This Row],[Produk]])</f>
        <v>0</v>
      </c>
      <c r="E78" s="25">
        <f>SUMIFS(BarangKeluar[Qty],BarangKeluar[Produk],LaporanStok[[#This Row],[Produk]])</f>
        <v>0</v>
      </c>
      <c r="F78" s="40">
        <f>LaporanStok[[#This Row],[Awal]]+LaporanStok[[#This Row],[In]]-LaporanStok[[#This Row],[Out]]</f>
        <v>0</v>
      </c>
      <c r="H78" s="30"/>
      <c r="I78" s="124"/>
      <c r="J78" s="30"/>
      <c r="K78" s="30"/>
      <c r="L78" s="30"/>
      <c r="M78" s="104"/>
      <c r="N78" s="61"/>
      <c r="O78" s="61"/>
      <c r="P78" s="30"/>
      <c r="Q78" s="47"/>
      <c r="R78" s="47"/>
      <c r="S78" s="30"/>
    </row>
    <row r="79" spans="2:19" x14ac:dyDescent="0.25">
      <c r="B79" s="39" t="s">
        <v>123</v>
      </c>
      <c r="C79" s="77">
        <v>0</v>
      </c>
      <c r="D79" s="25">
        <f>SUMIFS(BarangMasuk[Qty],BarangMasuk[Produk],LaporanStok[[#This Row],[Produk]])</f>
        <v>0</v>
      </c>
      <c r="E79" s="25">
        <f>SUMIFS(BarangKeluar[Qty],BarangKeluar[Produk],LaporanStok[[#This Row],[Produk]])</f>
        <v>0</v>
      </c>
      <c r="F79" s="40">
        <f>LaporanStok[[#This Row],[Awal]]+LaporanStok[[#This Row],[In]]-LaporanStok[[#This Row],[Out]]</f>
        <v>0</v>
      </c>
      <c r="H79" s="30"/>
      <c r="I79" s="124"/>
      <c r="J79" s="30"/>
      <c r="K79" s="30"/>
      <c r="L79" s="30"/>
      <c r="M79" s="104"/>
      <c r="N79" s="61"/>
      <c r="O79" s="61"/>
      <c r="P79" s="30"/>
      <c r="Q79" s="47"/>
      <c r="R79" s="47"/>
      <c r="S79" s="30"/>
    </row>
    <row r="80" spans="2:19" x14ac:dyDescent="0.25">
      <c r="B80" s="39" t="s">
        <v>30</v>
      </c>
      <c r="C80" s="77">
        <v>0</v>
      </c>
      <c r="D80" s="25">
        <f>SUMIFS(BarangMasuk[Qty],BarangMasuk[Produk],LaporanStok[[#This Row],[Produk]])</f>
        <v>0</v>
      </c>
      <c r="E80" s="25">
        <f>SUMIFS(BarangKeluar[Qty],BarangKeluar[Produk],LaporanStok[[#This Row],[Produk]])</f>
        <v>0</v>
      </c>
      <c r="F80" s="40">
        <f>LaporanStok[[#This Row],[Awal]]+LaporanStok[[#This Row],[In]]-LaporanStok[[#This Row],[Out]]</f>
        <v>0</v>
      </c>
      <c r="H80" s="30"/>
      <c r="I80" s="124"/>
      <c r="J80" s="30"/>
      <c r="K80" s="30"/>
      <c r="L80" s="30"/>
      <c r="M80" s="104"/>
      <c r="N80" s="61"/>
      <c r="O80" s="61"/>
      <c r="P80" s="30"/>
      <c r="Q80" s="47"/>
      <c r="R80" s="47"/>
      <c r="S80" s="30"/>
    </row>
    <row r="81" spans="2:19" x14ac:dyDescent="0.25">
      <c r="B81" s="39" t="s">
        <v>124</v>
      </c>
      <c r="C81" s="77">
        <v>17</v>
      </c>
      <c r="D81" s="25">
        <f>SUMIFS(BarangMasuk[Qty],BarangMasuk[Produk],LaporanStok[[#This Row],[Produk]])</f>
        <v>0</v>
      </c>
      <c r="E81" s="25">
        <f>SUMIFS(BarangKeluar[Qty],BarangKeluar[Produk],LaporanStok[[#This Row],[Produk]])</f>
        <v>0</v>
      </c>
      <c r="F81" s="40">
        <f>LaporanStok[[#This Row],[Awal]]+LaporanStok[[#This Row],[In]]-LaporanStok[[#This Row],[Out]]</f>
        <v>17</v>
      </c>
      <c r="H81" s="30"/>
      <c r="I81" s="124"/>
      <c r="J81" s="30"/>
      <c r="K81" s="30"/>
      <c r="L81" s="30"/>
      <c r="M81" s="104"/>
      <c r="N81" s="61"/>
      <c r="O81" s="61"/>
      <c r="P81" s="30"/>
      <c r="Q81" s="47"/>
      <c r="R81" s="47"/>
      <c r="S81" s="30"/>
    </row>
    <row r="82" spans="2:19" x14ac:dyDescent="0.25">
      <c r="B82" s="39" t="s">
        <v>19</v>
      </c>
      <c r="C82" s="77">
        <v>0</v>
      </c>
      <c r="D82" s="25">
        <f>SUMIFS(BarangMasuk[Qty],BarangMasuk[Produk],LaporanStok[[#This Row],[Produk]])</f>
        <v>0</v>
      </c>
      <c r="E82" s="25">
        <f>SUMIFS(BarangKeluar[Qty],BarangKeluar[Produk],LaporanStok[[#This Row],[Produk]])</f>
        <v>0</v>
      </c>
      <c r="F82" s="40">
        <f>LaporanStok[[#This Row],[Awal]]+LaporanStok[[#This Row],[In]]-LaporanStok[[#This Row],[Out]]</f>
        <v>0</v>
      </c>
      <c r="H82" s="30"/>
      <c r="I82" s="124"/>
      <c r="J82" s="30"/>
      <c r="K82" s="30"/>
      <c r="L82" s="30"/>
      <c r="M82" s="104"/>
      <c r="N82" s="61"/>
      <c r="O82" s="61"/>
      <c r="P82" s="30"/>
      <c r="Q82" s="47"/>
      <c r="R82" s="47"/>
      <c r="S82" s="30"/>
    </row>
    <row r="83" spans="2:19" x14ac:dyDescent="0.25">
      <c r="B83" s="39" t="s">
        <v>5</v>
      </c>
      <c r="C83" s="77">
        <v>0</v>
      </c>
      <c r="D83" s="25">
        <f>SUMIFS(BarangMasuk[Qty],BarangMasuk[Produk],LaporanStok[[#This Row],[Produk]])</f>
        <v>0</v>
      </c>
      <c r="E83" s="25">
        <f>SUMIFS(BarangKeluar[Qty],BarangKeluar[Produk],LaporanStok[[#This Row],[Produk]])</f>
        <v>0</v>
      </c>
      <c r="F83" s="40">
        <f>LaporanStok[[#This Row],[Awal]]+LaporanStok[[#This Row],[In]]-LaporanStok[[#This Row],[Out]]</f>
        <v>0</v>
      </c>
      <c r="H83" s="30"/>
      <c r="I83" s="124"/>
      <c r="J83" s="30"/>
      <c r="K83" s="30"/>
      <c r="L83" s="30"/>
      <c r="M83" s="104"/>
      <c r="N83" s="61"/>
      <c r="O83" s="61"/>
      <c r="P83" s="30"/>
      <c r="Q83" s="47"/>
      <c r="R83" s="47"/>
      <c r="S83" s="30"/>
    </row>
    <row r="84" spans="2:19" x14ac:dyDescent="0.25">
      <c r="B84" s="39" t="s">
        <v>125</v>
      </c>
      <c r="C84" s="77">
        <v>0</v>
      </c>
      <c r="D84" s="25">
        <f>SUMIFS(BarangMasuk[Qty],BarangMasuk[Produk],LaporanStok[[#This Row],[Produk]])</f>
        <v>0</v>
      </c>
      <c r="E84" s="25">
        <f>SUMIFS(BarangKeluar[Qty],BarangKeluar[Produk],LaporanStok[[#This Row],[Produk]])</f>
        <v>0</v>
      </c>
      <c r="F84" s="40">
        <f>LaporanStok[[#This Row],[Awal]]+LaporanStok[[#This Row],[In]]-LaporanStok[[#This Row],[Out]]</f>
        <v>0</v>
      </c>
      <c r="H84" s="30"/>
      <c r="I84" s="124"/>
      <c r="J84" s="30"/>
      <c r="K84" s="30"/>
      <c r="L84" s="30"/>
      <c r="M84" s="104"/>
      <c r="N84" s="61"/>
      <c r="O84" s="61"/>
      <c r="P84" s="30"/>
      <c r="Q84" s="47"/>
      <c r="R84" s="47"/>
      <c r="S84" s="30"/>
    </row>
    <row r="85" spans="2:19" x14ac:dyDescent="0.25">
      <c r="B85" s="39" t="s">
        <v>126</v>
      </c>
      <c r="C85" s="77">
        <v>0</v>
      </c>
      <c r="D85" s="25">
        <f>SUMIFS(BarangMasuk[Qty],BarangMasuk[Produk],LaporanStok[[#This Row],[Produk]])</f>
        <v>0</v>
      </c>
      <c r="E85" s="25">
        <f>SUMIFS(BarangKeluar[Qty],BarangKeluar[Produk],LaporanStok[[#This Row],[Produk]])</f>
        <v>0</v>
      </c>
      <c r="F85" s="40">
        <f>LaporanStok[[#This Row],[Awal]]+LaporanStok[[#This Row],[In]]-LaporanStok[[#This Row],[Out]]</f>
        <v>0</v>
      </c>
      <c r="H85" s="30"/>
      <c r="I85" s="124"/>
      <c r="J85" s="30"/>
      <c r="K85" s="30"/>
      <c r="L85" s="30"/>
      <c r="M85" s="104"/>
      <c r="N85" s="61"/>
      <c r="O85" s="61"/>
      <c r="P85" s="30"/>
      <c r="Q85" s="47"/>
      <c r="R85" s="47"/>
      <c r="S85" s="30"/>
    </row>
    <row r="86" spans="2:19" x14ac:dyDescent="0.25">
      <c r="B86" s="39" t="s">
        <v>127</v>
      </c>
      <c r="C86" s="77">
        <v>0</v>
      </c>
      <c r="D86" s="25">
        <f>SUMIFS(BarangMasuk[Qty],BarangMasuk[Produk],LaporanStok[[#This Row],[Produk]])</f>
        <v>0</v>
      </c>
      <c r="E86" s="25">
        <f>SUMIFS(BarangKeluar[Qty],BarangKeluar[Produk],LaporanStok[[#This Row],[Produk]])</f>
        <v>0</v>
      </c>
      <c r="F86" s="40">
        <f>LaporanStok[[#This Row],[Awal]]+LaporanStok[[#This Row],[In]]-LaporanStok[[#This Row],[Out]]</f>
        <v>0</v>
      </c>
      <c r="H86" s="30"/>
      <c r="I86" s="124"/>
      <c r="J86" s="30"/>
      <c r="K86" s="30"/>
      <c r="L86" s="30"/>
      <c r="M86" s="104"/>
      <c r="N86" s="61"/>
      <c r="O86" s="61"/>
      <c r="P86" s="30"/>
      <c r="Q86" s="47"/>
      <c r="R86" s="47"/>
      <c r="S86" s="30"/>
    </row>
    <row r="87" spans="2:19" x14ac:dyDescent="0.25">
      <c r="B87" s="39" t="s">
        <v>39</v>
      </c>
      <c r="C87" s="77">
        <v>2</v>
      </c>
      <c r="D87" s="25">
        <f>SUMIFS(BarangMasuk[Qty],BarangMasuk[Produk],LaporanStok[[#This Row],[Produk]])</f>
        <v>0</v>
      </c>
      <c r="E87" s="25">
        <f>SUMIFS(BarangKeluar[Qty],BarangKeluar[Produk],LaporanStok[[#This Row],[Produk]])</f>
        <v>0</v>
      </c>
      <c r="F87" s="40">
        <f>LaporanStok[[#This Row],[Awal]]+LaporanStok[[#This Row],[In]]-LaporanStok[[#This Row],[Out]]</f>
        <v>2</v>
      </c>
      <c r="H87" s="30"/>
      <c r="I87" s="124"/>
      <c r="J87" s="30"/>
      <c r="K87" s="30"/>
      <c r="L87" s="30"/>
      <c r="M87" s="104"/>
      <c r="N87" s="61"/>
      <c r="O87" s="61"/>
      <c r="P87" s="30"/>
      <c r="Q87" s="47"/>
      <c r="R87" s="47"/>
      <c r="S87" s="30"/>
    </row>
    <row r="88" spans="2:19" x14ac:dyDescent="0.25">
      <c r="B88" s="39" t="s">
        <v>128</v>
      </c>
      <c r="C88" s="77">
        <v>0</v>
      </c>
      <c r="D88" s="25">
        <f>SUMIFS(BarangMasuk[Qty],BarangMasuk[Produk],LaporanStok[[#This Row],[Produk]])</f>
        <v>0</v>
      </c>
      <c r="E88" s="25">
        <f>SUMIFS(BarangKeluar[Qty],BarangKeluar[Produk],LaporanStok[[#This Row],[Produk]])</f>
        <v>0</v>
      </c>
      <c r="F88" s="40">
        <f>LaporanStok[[#This Row],[Awal]]+LaporanStok[[#This Row],[In]]-LaporanStok[[#This Row],[Out]]</f>
        <v>0</v>
      </c>
      <c r="H88" s="30"/>
      <c r="I88" s="124"/>
      <c r="J88" s="30"/>
      <c r="K88" s="30"/>
      <c r="L88" s="30"/>
      <c r="M88" s="104"/>
      <c r="N88" s="61"/>
      <c r="O88" s="61"/>
      <c r="P88" s="30"/>
      <c r="Q88" s="47"/>
      <c r="R88" s="47"/>
      <c r="S88" s="30"/>
    </row>
    <row r="89" spans="2:19" x14ac:dyDescent="0.25">
      <c r="B89" s="39" t="s">
        <v>129</v>
      </c>
      <c r="C89" s="77">
        <v>0</v>
      </c>
      <c r="D89" s="25">
        <f>SUMIFS(BarangMasuk[Qty],BarangMasuk[Produk],LaporanStok[[#This Row],[Produk]])</f>
        <v>0</v>
      </c>
      <c r="E89" s="25">
        <f>SUMIFS(BarangKeluar[Qty],BarangKeluar[Produk],LaporanStok[[#This Row],[Produk]])</f>
        <v>0</v>
      </c>
      <c r="F89" s="40">
        <f>LaporanStok[[#This Row],[Awal]]+LaporanStok[[#This Row],[In]]-LaporanStok[[#This Row],[Out]]</f>
        <v>0</v>
      </c>
      <c r="H89" s="30"/>
      <c r="I89" s="124"/>
      <c r="J89" s="30"/>
      <c r="K89" s="30"/>
      <c r="L89" s="30"/>
      <c r="M89" s="104"/>
      <c r="N89" s="61"/>
      <c r="O89" s="61"/>
      <c r="P89" s="30"/>
      <c r="Q89" s="47"/>
      <c r="R89" s="47"/>
      <c r="S89" s="30"/>
    </row>
    <row r="90" spans="2:19" x14ac:dyDescent="0.25">
      <c r="B90" s="39" t="s">
        <v>130</v>
      </c>
      <c r="C90" s="77">
        <v>0</v>
      </c>
      <c r="D90" s="25">
        <f>SUMIFS(BarangMasuk[Qty],BarangMasuk[Produk],LaporanStok[[#This Row],[Produk]])</f>
        <v>0</v>
      </c>
      <c r="E90" s="25">
        <f>SUMIFS(BarangKeluar[Qty],BarangKeluar[Produk],LaporanStok[[#This Row],[Produk]])</f>
        <v>0</v>
      </c>
      <c r="F90" s="40">
        <f>LaporanStok[[#This Row],[Awal]]+LaporanStok[[#This Row],[In]]-LaporanStok[[#This Row],[Out]]</f>
        <v>0</v>
      </c>
      <c r="H90" s="30"/>
      <c r="I90" s="124"/>
      <c r="J90" s="30"/>
      <c r="K90" s="30"/>
      <c r="L90" s="30"/>
      <c r="M90" s="104"/>
      <c r="N90" s="61"/>
      <c r="O90" s="61"/>
      <c r="P90" s="30"/>
      <c r="Q90" s="47"/>
      <c r="R90" s="47"/>
      <c r="S90" s="30"/>
    </row>
    <row r="91" spans="2:19" x14ac:dyDescent="0.25">
      <c r="B91" s="39" t="s">
        <v>131</v>
      </c>
      <c r="C91" s="77">
        <v>0</v>
      </c>
      <c r="D91" s="25">
        <f>SUMIFS(BarangMasuk[Qty],BarangMasuk[Produk],LaporanStok[[#This Row],[Produk]])</f>
        <v>0</v>
      </c>
      <c r="E91" s="25">
        <f>SUMIFS(BarangKeluar[Qty],BarangKeluar[Produk],LaporanStok[[#This Row],[Produk]])</f>
        <v>0</v>
      </c>
      <c r="F91" s="40">
        <f>LaporanStok[[#This Row],[Awal]]+LaporanStok[[#This Row],[In]]-LaporanStok[[#This Row],[Out]]</f>
        <v>0</v>
      </c>
      <c r="H91" s="30"/>
      <c r="I91" s="124"/>
      <c r="J91" s="30"/>
      <c r="K91" s="30"/>
      <c r="L91" s="30"/>
      <c r="M91" s="104"/>
      <c r="N91" s="61"/>
      <c r="O91" s="61"/>
      <c r="P91" s="30"/>
      <c r="Q91" s="47"/>
      <c r="R91" s="47"/>
      <c r="S91" s="30"/>
    </row>
    <row r="92" spans="2:19" x14ac:dyDescent="0.25">
      <c r="B92" s="39" t="s">
        <v>132</v>
      </c>
      <c r="C92" s="77">
        <v>0</v>
      </c>
      <c r="D92" s="25">
        <f>SUMIFS(BarangMasuk[Qty],BarangMasuk[Produk],LaporanStok[[#This Row],[Produk]])</f>
        <v>0</v>
      </c>
      <c r="E92" s="25">
        <f>SUMIFS(BarangKeluar[Qty],BarangKeluar[Produk],LaporanStok[[#This Row],[Produk]])</f>
        <v>0</v>
      </c>
      <c r="F92" s="40">
        <f>LaporanStok[[#This Row],[Awal]]+LaporanStok[[#This Row],[In]]-LaporanStok[[#This Row],[Out]]</f>
        <v>0</v>
      </c>
      <c r="H92" s="30"/>
      <c r="I92" s="124"/>
      <c r="J92" s="30"/>
      <c r="K92" s="30"/>
      <c r="L92" s="30"/>
      <c r="M92" s="104"/>
      <c r="N92" s="61"/>
      <c r="O92" s="61"/>
      <c r="P92" s="30"/>
      <c r="Q92" s="47"/>
      <c r="R92" s="47"/>
      <c r="S92" s="30"/>
    </row>
    <row r="93" spans="2:19" x14ac:dyDescent="0.25">
      <c r="B93" s="39" t="s">
        <v>133</v>
      </c>
      <c r="C93" s="77">
        <v>0</v>
      </c>
      <c r="D93" s="25">
        <f>SUMIFS(BarangMasuk[Qty],BarangMasuk[Produk],LaporanStok[[#This Row],[Produk]])</f>
        <v>0</v>
      </c>
      <c r="E93" s="25">
        <f>SUMIFS(BarangKeluar[Qty],BarangKeluar[Produk],LaporanStok[[#This Row],[Produk]])</f>
        <v>0</v>
      </c>
      <c r="F93" s="40">
        <f>LaporanStok[[#This Row],[Awal]]+LaporanStok[[#This Row],[In]]-LaporanStok[[#This Row],[Out]]</f>
        <v>0</v>
      </c>
      <c r="H93" s="30"/>
      <c r="I93" s="124"/>
      <c r="J93" s="30"/>
      <c r="K93" s="30"/>
      <c r="L93" s="30"/>
      <c r="M93" s="104"/>
      <c r="N93" s="61"/>
      <c r="O93" s="61"/>
      <c r="P93" s="30"/>
      <c r="Q93" s="47"/>
      <c r="R93" s="47"/>
      <c r="S93" s="30"/>
    </row>
    <row r="94" spans="2:19" x14ac:dyDescent="0.25">
      <c r="B94" s="39" t="s">
        <v>134</v>
      </c>
      <c r="C94" s="77">
        <v>0</v>
      </c>
      <c r="D94" s="25">
        <f>SUMIFS(BarangMasuk[Qty],BarangMasuk[Produk],LaporanStok[[#This Row],[Produk]])</f>
        <v>0</v>
      </c>
      <c r="E94" s="25">
        <f>SUMIFS(BarangKeluar[Qty],BarangKeluar[Produk],LaporanStok[[#This Row],[Produk]])</f>
        <v>0</v>
      </c>
      <c r="F94" s="40">
        <f>LaporanStok[[#This Row],[Awal]]+LaporanStok[[#This Row],[In]]-LaporanStok[[#This Row],[Out]]</f>
        <v>0</v>
      </c>
      <c r="H94" s="30"/>
      <c r="I94" s="124"/>
      <c r="J94" s="30"/>
      <c r="K94" s="30"/>
      <c r="L94" s="30"/>
      <c r="M94" s="104"/>
      <c r="N94" s="61"/>
      <c r="O94" s="61"/>
      <c r="P94" s="30"/>
      <c r="Q94" s="47"/>
      <c r="R94" s="47"/>
      <c r="S94" s="30"/>
    </row>
    <row r="95" spans="2:19" x14ac:dyDescent="0.25">
      <c r="B95" s="39" t="s">
        <v>135</v>
      </c>
      <c r="C95" s="77">
        <v>0</v>
      </c>
      <c r="D95" s="25">
        <f>SUMIFS(BarangMasuk[Qty],BarangMasuk[Produk],LaporanStok[[#This Row],[Produk]])</f>
        <v>0</v>
      </c>
      <c r="E95" s="25">
        <f>SUMIFS(BarangKeluar[Qty],BarangKeluar[Produk],LaporanStok[[#This Row],[Produk]])</f>
        <v>0</v>
      </c>
      <c r="F95" s="40">
        <f>LaporanStok[[#This Row],[Awal]]+LaporanStok[[#This Row],[In]]-LaporanStok[[#This Row],[Out]]</f>
        <v>0</v>
      </c>
      <c r="H95" s="30"/>
      <c r="I95" s="124"/>
      <c r="J95" s="30"/>
      <c r="K95" s="30"/>
      <c r="L95" s="30"/>
      <c r="M95" s="104"/>
      <c r="N95" s="61"/>
      <c r="O95" s="61"/>
      <c r="P95" s="30"/>
      <c r="Q95" s="47"/>
      <c r="R95" s="47"/>
      <c r="S95" s="30"/>
    </row>
    <row r="96" spans="2:19" x14ac:dyDescent="0.25">
      <c r="B96" s="39" t="s">
        <v>136</v>
      </c>
      <c r="C96" s="77">
        <v>0</v>
      </c>
      <c r="D96" s="25">
        <f>SUMIFS(BarangMasuk[Qty],BarangMasuk[Produk],LaporanStok[[#This Row],[Produk]])</f>
        <v>0</v>
      </c>
      <c r="E96" s="25">
        <f>SUMIFS(BarangKeluar[Qty],BarangKeluar[Produk],LaporanStok[[#This Row],[Produk]])</f>
        <v>0</v>
      </c>
      <c r="F96" s="40">
        <f>LaporanStok[[#This Row],[Awal]]+LaporanStok[[#This Row],[In]]-LaporanStok[[#This Row],[Out]]</f>
        <v>0</v>
      </c>
      <c r="H96" s="30"/>
      <c r="I96" s="124"/>
      <c r="J96" s="30"/>
      <c r="K96" s="30"/>
      <c r="L96" s="30"/>
      <c r="M96" s="104"/>
      <c r="N96" s="61"/>
      <c r="O96" s="61"/>
      <c r="P96" s="30"/>
      <c r="Q96" s="47"/>
      <c r="R96" s="47"/>
      <c r="S96" s="30"/>
    </row>
    <row r="97" spans="2:19" x14ac:dyDescent="0.25">
      <c r="B97" s="39" t="s">
        <v>137</v>
      </c>
      <c r="C97" s="77">
        <v>0</v>
      </c>
      <c r="D97" s="25">
        <f>SUMIFS(BarangMasuk[Qty],BarangMasuk[Produk],LaporanStok[[#This Row],[Produk]])</f>
        <v>0</v>
      </c>
      <c r="E97" s="25">
        <f>SUMIFS(BarangKeluar[Qty],BarangKeluar[Produk],LaporanStok[[#This Row],[Produk]])</f>
        <v>0</v>
      </c>
      <c r="F97" s="40">
        <f>LaporanStok[[#This Row],[Awal]]+LaporanStok[[#This Row],[In]]-LaporanStok[[#This Row],[Out]]</f>
        <v>0</v>
      </c>
      <c r="H97" s="30"/>
      <c r="I97" s="124"/>
      <c r="J97" s="30"/>
      <c r="K97" s="30"/>
      <c r="L97" s="30"/>
      <c r="M97" s="104"/>
      <c r="N97" s="61"/>
      <c r="O97" s="61"/>
      <c r="P97" s="30"/>
      <c r="Q97" s="47"/>
      <c r="R97" s="47"/>
      <c r="S97" s="30"/>
    </row>
    <row r="98" spans="2:19" x14ac:dyDescent="0.25">
      <c r="B98" s="39" t="s">
        <v>33</v>
      </c>
      <c r="C98" s="77">
        <v>5</v>
      </c>
      <c r="D98" s="25">
        <f>SUMIFS(BarangMasuk[Qty],BarangMasuk[Produk],LaporanStok[[#This Row],[Produk]])</f>
        <v>0</v>
      </c>
      <c r="E98" s="25">
        <f>SUMIFS(BarangKeluar[Qty],BarangKeluar[Produk],LaporanStok[[#This Row],[Produk]])</f>
        <v>0</v>
      </c>
      <c r="F98" s="40">
        <f>LaporanStok[[#This Row],[Awal]]+LaporanStok[[#This Row],[In]]-LaporanStok[[#This Row],[Out]]</f>
        <v>5</v>
      </c>
      <c r="H98" s="30"/>
      <c r="I98" s="124"/>
      <c r="J98" s="30"/>
      <c r="K98" s="30"/>
      <c r="L98" s="30"/>
      <c r="M98" s="104"/>
      <c r="N98" s="61"/>
      <c r="O98" s="61"/>
      <c r="P98" s="30"/>
      <c r="Q98" s="47"/>
      <c r="R98" s="47"/>
      <c r="S98" s="30"/>
    </row>
    <row r="99" spans="2:19" x14ac:dyDescent="0.25">
      <c r="B99" s="39" t="s">
        <v>138</v>
      </c>
      <c r="C99" s="77">
        <v>0</v>
      </c>
      <c r="D99" s="25">
        <f>SUMIFS(BarangMasuk[Qty],BarangMasuk[Produk],LaporanStok[[#This Row],[Produk]])</f>
        <v>0</v>
      </c>
      <c r="E99" s="25">
        <f>SUMIFS(BarangKeluar[Qty],BarangKeluar[Produk],LaporanStok[[#This Row],[Produk]])</f>
        <v>0</v>
      </c>
      <c r="F99" s="40">
        <f>LaporanStok[[#This Row],[Awal]]+LaporanStok[[#This Row],[In]]-LaporanStok[[#This Row],[Out]]</f>
        <v>0</v>
      </c>
      <c r="H99" s="30"/>
      <c r="I99" s="124"/>
      <c r="J99" s="30"/>
      <c r="K99" s="30"/>
      <c r="L99" s="30"/>
      <c r="M99" s="104"/>
      <c r="N99" s="61"/>
      <c r="O99" s="61"/>
      <c r="P99" s="30"/>
      <c r="Q99" s="47"/>
      <c r="R99" s="47"/>
      <c r="S99" s="30"/>
    </row>
    <row r="100" spans="2:19" x14ac:dyDescent="0.25">
      <c r="B100" s="39" t="s">
        <v>139</v>
      </c>
      <c r="C100" s="77">
        <v>0</v>
      </c>
      <c r="D100" s="25">
        <f>SUMIFS(BarangMasuk[Qty],BarangMasuk[Produk],LaporanStok[[#This Row],[Produk]])</f>
        <v>0</v>
      </c>
      <c r="E100" s="25">
        <f>SUMIFS(BarangKeluar[Qty],BarangKeluar[Produk],LaporanStok[[#This Row],[Produk]])</f>
        <v>0</v>
      </c>
      <c r="F100" s="40">
        <f>LaporanStok[[#This Row],[Awal]]+LaporanStok[[#This Row],[In]]-LaporanStok[[#This Row],[Out]]</f>
        <v>0</v>
      </c>
      <c r="H100" s="30"/>
      <c r="I100" s="124"/>
      <c r="J100" s="30"/>
      <c r="K100" s="30"/>
      <c r="L100" s="30"/>
      <c r="M100" s="104"/>
      <c r="N100" s="61"/>
      <c r="O100" s="61"/>
      <c r="P100" s="30"/>
      <c r="Q100" s="47"/>
      <c r="R100" s="47"/>
      <c r="S100" s="30"/>
    </row>
    <row r="101" spans="2:19" x14ac:dyDescent="0.25">
      <c r="B101" s="39" t="s">
        <v>140</v>
      </c>
      <c r="C101" s="77">
        <v>0</v>
      </c>
      <c r="D101" s="25">
        <f>SUMIFS(BarangMasuk[Qty],BarangMasuk[Produk],LaporanStok[[#This Row],[Produk]])</f>
        <v>0</v>
      </c>
      <c r="E101" s="25">
        <f>SUMIFS(BarangKeluar[Qty],BarangKeluar[Produk],LaporanStok[[#This Row],[Produk]])</f>
        <v>0</v>
      </c>
      <c r="F101" s="40">
        <f>LaporanStok[[#This Row],[Awal]]+LaporanStok[[#This Row],[In]]-LaporanStok[[#This Row],[Out]]</f>
        <v>0</v>
      </c>
      <c r="H101" s="30"/>
      <c r="I101" s="124"/>
      <c r="J101" s="30"/>
      <c r="K101" s="30"/>
      <c r="L101" s="30"/>
      <c r="M101" s="104"/>
      <c r="N101" s="61"/>
      <c r="O101" s="61"/>
      <c r="P101" s="30"/>
      <c r="Q101" s="47"/>
      <c r="R101" s="47"/>
      <c r="S101" s="30"/>
    </row>
    <row r="102" spans="2:19" x14ac:dyDescent="0.25">
      <c r="B102" s="39" t="s">
        <v>43</v>
      </c>
      <c r="C102" s="77">
        <v>0</v>
      </c>
      <c r="D102" s="25">
        <f>SUMIFS(BarangMasuk[Qty],BarangMasuk[Produk],LaporanStok[[#This Row],[Produk]])</f>
        <v>0</v>
      </c>
      <c r="E102" s="25">
        <f>SUMIFS(BarangKeluar[Qty],BarangKeluar[Produk],LaporanStok[[#This Row],[Produk]])</f>
        <v>0</v>
      </c>
      <c r="F102" s="40">
        <f>LaporanStok[[#This Row],[Awal]]+LaporanStok[[#This Row],[In]]-LaporanStok[[#This Row],[Out]]</f>
        <v>0</v>
      </c>
      <c r="H102" s="30"/>
      <c r="I102" s="124"/>
      <c r="J102" s="30"/>
      <c r="K102" s="30"/>
      <c r="L102" s="30"/>
      <c r="M102" s="104"/>
      <c r="N102" s="61"/>
      <c r="O102" s="61"/>
      <c r="P102" s="30"/>
      <c r="Q102" s="47"/>
      <c r="R102" s="47"/>
      <c r="S102" s="30"/>
    </row>
    <row r="103" spans="2:19" x14ac:dyDescent="0.25">
      <c r="B103" s="39" t="s">
        <v>141</v>
      </c>
      <c r="C103" s="77">
        <v>0</v>
      </c>
      <c r="D103" s="25">
        <f>SUMIFS(BarangMasuk[Qty],BarangMasuk[Produk],LaporanStok[[#This Row],[Produk]])</f>
        <v>0</v>
      </c>
      <c r="E103" s="25">
        <f>SUMIFS(BarangKeluar[Qty],BarangKeluar[Produk],LaporanStok[[#This Row],[Produk]])</f>
        <v>0</v>
      </c>
      <c r="F103" s="40">
        <f>LaporanStok[[#This Row],[Awal]]+LaporanStok[[#This Row],[In]]-LaporanStok[[#This Row],[Out]]</f>
        <v>0</v>
      </c>
      <c r="H103" s="30"/>
      <c r="I103" s="124"/>
      <c r="J103" s="30"/>
      <c r="K103" s="30"/>
      <c r="L103" s="30"/>
      <c r="M103" s="104"/>
      <c r="N103" s="61"/>
      <c r="O103" s="61"/>
      <c r="P103" s="30"/>
      <c r="Q103" s="47"/>
      <c r="R103" s="47"/>
      <c r="S103" s="30"/>
    </row>
    <row r="104" spans="2:19" x14ac:dyDescent="0.25">
      <c r="B104" s="39" t="s">
        <v>45</v>
      </c>
      <c r="C104" s="77">
        <v>5</v>
      </c>
      <c r="D104" s="25">
        <f>SUMIFS(BarangMasuk[Qty],BarangMasuk[Produk],LaporanStok[[#This Row],[Produk]])</f>
        <v>0</v>
      </c>
      <c r="E104" s="25">
        <f>SUMIFS(BarangKeluar[Qty],BarangKeluar[Produk],LaporanStok[[#This Row],[Produk]])</f>
        <v>0</v>
      </c>
      <c r="F104" s="40">
        <f>LaporanStok[[#This Row],[Awal]]+LaporanStok[[#This Row],[In]]-LaporanStok[[#This Row],[Out]]</f>
        <v>5</v>
      </c>
      <c r="H104" s="30"/>
      <c r="I104" s="124"/>
      <c r="J104" s="30"/>
      <c r="K104" s="30"/>
      <c r="L104" s="30"/>
      <c r="M104" s="104"/>
      <c r="N104" s="61"/>
      <c r="O104" s="61"/>
      <c r="P104" s="30"/>
      <c r="Q104" s="47"/>
      <c r="R104" s="47"/>
      <c r="S104" s="30"/>
    </row>
    <row r="105" spans="2:19" x14ac:dyDescent="0.25">
      <c r="B105" s="39" t="s">
        <v>44</v>
      </c>
      <c r="C105" s="77">
        <v>1</v>
      </c>
      <c r="D105" s="25">
        <f>SUMIFS(BarangMasuk[Qty],BarangMasuk[Produk],LaporanStok[[#This Row],[Produk]])</f>
        <v>0</v>
      </c>
      <c r="E105" s="25">
        <f>SUMIFS(BarangKeluar[Qty],BarangKeluar[Produk],LaporanStok[[#This Row],[Produk]])</f>
        <v>0</v>
      </c>
      <c r="F105" s="40">
        <f>LaporanStok[[#This Row],[Awal]]+LaporanStok[[#This Row],[In]]-LaporanStok[[#This Row],[Out]]</f>
        <v>1</v>
      </c>
      <c r="H105" s="30"/>
      <c r="I105" s="124"/>
      <c r="J105" s="30"/>
      <c r="K105" s="30"/>
      <c r="L105" s="30"/>
      <c r="M105" s="104"/>
      <c r="N105" s="61"/>
      <c r="O105" s="61"/>
      <c r="P105" s="30"/>
      <c r="Q105" s="47"/>
      <c r="R105" s="47"/>
      <c r="S105" s="30"/>
    </row>
    <row r="106" spans="2:19" x14ac:dyDescent="0.25">
      <c r="B106" s="39" t="s">
        <v>142</v>
      </c>
      <c r="C106" s="77">
        <v>5</v>
      </c>
      <c r="D106" s="25">
        <f>SUMIFS(BarangMasuk[Qty],BarangMasuk[Produk],LaporanStok[[#This Row],[Produk]])</f>
        <v>0</v>
      </c>
      <c r="E106" s="25">
        <f>SUMIFS(BarangKeluar[Qty],BarangKeluar[Produk],LaporanStok[[#This Row],[Produk]])</f>
        <v>0</v>
      </c>
      <c r="F106" s="40">
        <f>LaporanStok[[#This Row],[Awal]]+LaporanStok[[#This Row],[In]]-LaporanStok[[#This Row],[Out]]</f>
        <v>5</v>
      </c>
      <c r="H106" s="30"/>
      <c r="I106" s="124"/>
      <c r="J106" s="30"/>
      <c r="K106" s="30"/>
      <c r="L106" s="30"/>
      <c r="M106" s="104"/>
      <c r="N106" s="61"/>
      <c r="O106" s="61"/>
      <c r="P106" s="30"/>
      <c r="Q106" s="47"/>
      <c r="R106" s="47"/>
      <c r="S106" s="30"/>
    </row>
    <row r="107" spans="2:19" x14ac:dyDescent="0.25">
      <c r="B107" s="39" t="s">
        <v>48</v>
      </c>
      <c r="C107" s="77">
        <v>5</v>
      </c>
      <c r="D107" s="25">
        <f>SUMIFS(BarangMasuk[Qty],BarangMasuk[Produk],LaporanStok[[#This Row],[Produk]])</f>
        <v>0</v>
      </c>
      <c r="E107" s="25">
        <f>SUMIFS(BarangKeluar[Qty],BarangKeluar[Produk],LaporanStok[[#This Row],[Produk]])</f>
        <v>0</v>
      </c>
      <c r="F107" s="40">
        <f>LaporanStok[[#This Row],[Awal]]+LaporanStok[[#This Row],[In]]-LaporanStok[[#This Row],[Out]]</f>
        <v>5</v>
      </c>
      <c r="H107" s="30"/>
      <c r="I107" s="124"/>
      <c r="J107" s="30"/>
      <c r="K107" s="30"/>
      <c r="L107" s="30"/>
      <c r="M107" s="104"/>
      <c r="N107" s="61"/>
      <c r="O107" s="61"/>
      <c r="P107" s="30"/>
      <c r="Q107" s="47"/>
      <c r="R107" s="47"/>
      <c r="S107" s="30"/>
    </row>
    <row r="108" spans="2:19" x14ac:dyDescent="0.25">
      <c r="B108" s="39" t="s">
        <v>53</v>
      </c>
      <c r="C108" s="77">
        <v>0</v>
      </c>
      <c r="D108" s="25">
        <f>SUMIFS(BarangMasuk[Qty],BarangMasuk[Produk],LaporanStok[[#This Row],[Produk]])</f>
        <v>0</v>
      </c>
      <c r="E108" s="25">
        <f>SUMIFS(BarangKeluar[Qty],BarangKeluar[Produk],LaporanStok[[#This Row],[Produk]])</f>
        <v>0</v>
      </c>
      <c r="F108" s="40">
        <f>LaporanStok[[#This Row],[Awal]]+LaporanStok[[#This Row],[In]]-LaporanStok[[#This Row],[Out]]</f>
        <v>0</v>
      </c>
      <c r="H108" s="30"/>
      <c r="I108" s="124"/>
      <c r="J108" s="30"/>
      <c r="K108" s="30"/>
      <c r="L108" s="30"/>
      <c r="M108" s="104"/>
      <c r="N108" s="61"/>
      <c r="O108" s="61"/>
      <c r="P108" s="30"/>
      <c r="Q108" s="47"/>
      <c r="R108" s="47"/>
      <c r="S108" s="30"/>
    </row>
    <row r="109" spans="2:19" x14ac:dyDescent="0.25">
      <c r="B109" s="39" t="s">
        <v>21</v>
      </c>
      <c r="C109" s="77">
        <v>-1</v>
      </c>
      <c r="D109" s="25">
        <f>SUMIFS(BarangMasuk[Qty],BarangMasuk[Produk],LaporanStok[[#This Row],[Produk]])</f>
        <v>0</v>
      </c>
      <c r="E109" s="25">
        <f>SUMIFS(BarangKeluar[Qty],BarangKeluar[Produk],LaporanStok[[#This Row],[Produk]])</f>
        <v>0</v>
      </c>
      <c r="F109" s="40">
        <f>LaporanStok[[#This Row],[Awal]]+LaporanStok[[#This Row],[In]]-LaporanStok[[#This Row],[Out]]</f>
        <v>-1</v>
      </c>
      <c r="H109" s="30"/>
      <c r="I109" s="124"/>
      <c r="J109" s="30"/>
      <c r="K109" s="30"/>
      <c r="L109" s="30"/>
      <c r="M109" s="104"/>
      <c r="N109" s="61"/>
      <c r="O109" s="61"/>
      <c r="P109" s="30"/>
      <c r="Q109" s="47"/>
      <c r="R109" s="47"/>
      <c r="S109" s="30"/>
    </row>
    <row r="110" spans="2:19" x14ac:dyDescent="0.25">
      <c r="B110" s="39" t="s">
        <v>61</v>
      </c>
      <c r="C110" s="77">
        <v>0</v>
      </c>
      <c r="D110" s="25">
        <f>SUMIFS(BarangMasuk[Qty],BarangMasuk[Produk],LaporanStok[[#This Row],[Produk]])</f>
        <v>0</v>
      </c>
      <c r="E110" s="25">
        <f>SUMIFS(BarangKeluar[Qty],BarangKeluar[Produk],LaporanStok[[#This Row],[Produk]])</f>
        <v>0</v>
      </c>
      <c r="F110" s="40">
        <f>LaporanStok[[#This Row],[Awal]]+LaporanStok[[#This Row],[In]]-LaporanStok[[#This Row],[Out]]</f>
        <v>0</v>
      </c>
      <c r="H110" s="30"/>
      <c r="I110" s="124"/>
      <c r="J110" s="30"/>
      <c r="K110" s="30"/>
      <c r="L110" s="30"/>
      <c r="M110" s="104"/>
      <c r="N110" s="61"/>
      <c r="O110" s="61"/>
      <c r="P110" s="30"/>
      <c r="Q110" s="47"/>
      <c r="R110" s="47"/>
      <c r="S110" s="30"/>
    </row>
    <row r="111" spans="2:19" x14ac:dyDescent="0.25">
      <c r="B111" s="39" t="s">
        <v>143</v>
      </c>
      <c r="C111" s="77">
        <v>0</v>
      </c>
      <c r="D111" s="25">
        <f>SUMIFS(BarangMasuk[Qty],BarangMasuk[Produk],LaporanStok[[#This Row],[Produk]])</f>
        <v>0</v>
      </c>
      <c r="E111" s="25">
        <f>SUMIFS(BarangKeluar[Qty],BarangKeluar[Produk],LaporanStok[[#This Row],[Produk]])</f>
        <v>0</v>
      </c>
      <c r="F111" s="40">
        <f>LaporanStok[[#This Row],[Awal]]+LaporanStok[[#This Row],[In]]-LaporanStok[[#This Row],[Out]]</f>
        <v>0</v>
      </c>
      <c r="H111" s="30"/>
      <c r="I111" s="124"/>
      <c r="J111" s="30"/>
      <c r="K111" s="30"/>
      <c r="L111" s="30"/>
      <c r="M111" s="104"/>
      <c r="N111" s="61"/>
      <c r="O111" s="61"/>
      <c r="P111" s="30"/>
      <c r="Q111" s="47"/>
      <c r="R111" s="47"/>
      <c r="S111" s="30"/>
    </row>
    <row r="112" spans="2:19" x14ac:dyDescent="0.25">
      <c r="B112" s="39" t="s">
        <v>36</v>
      </c>
      <c r="C112" s="77">
        <v>0</v>
      </c>
      <c r="D112" s="25">
        <f>SUMIFS(BarangMasuk[Qty],BarangMasuk[Produk],LaporanStok[[#This Row],[Produk]])</f>
        <v>0</v>
      </c>
      <c r="E112" s="25">
        <f>SUMIFS(BarangKeluar[Qty],BarangKeluar[Produk],LaporanStok[[#This Row],[Produk]])</f>
        <v>0</v>
      </c>
      <c r="F112" s="40">
        <f>LaporanStok[[#This Row],[Awal]]+LaporanStok[[#This Row],[In]]-LaporanStok[[#This Row],[Out]]</f>
        <v>0</v>
      </c>
      <c r="H112" s="30"/>
      <c r="I112" s="124"/>
      <c r="J112" s="30"/>
      <c r="K112" s="30"/>
      <c r="L112" s="30"/>
      <c r="M112" s="104"/>
      <c r="N112" s="61"/>
      <c r="O112" s="61"/>
      <c r="P112" s="30"/>
      <c r="Q112" s="47"/>
      <c r="R112" s="47"/>
      <c r="S112" s="30"/>
    </row>
    <row r="113" spans="2:19" x14ac:dyDescent="0.25">
      <c r="B113" s="39" t="s">
        <v>144</v>
      </c>
      <c r="C113" s="77">
        <v>0</v>
      </c>
      <c r="D113" s="25">
        <f>SUMIFS(BarangMasuk[Qty],BarangMasuk[Produk],LaporanStok[[#This Row],[Produk]])</f>
        <v>0</v>
      </c>
      <c r="E113" s="25">
        <f>SUMIFS(BarangKeluar[Qty],BarangKeluar[Produk],LaporanStok[[#This Row],[Produk]])</f>
        <v>0</v>
      </c>
      <c r="F113" s="40">
        <f>LaporanStok[[#This Row],[Awal]]+LaporanStok[[#This Row],[In]]-LaporanStok[[#This Row],[Out]]</f>
        <v>0</v>
      </c>
      <c r="H113" s="30"/>
      <c r="I113" s="124"/>
      <c r="J113" s="30"/>
      <c r="K113" s="30"/>
      <c r="L113" s="30"/>
      <c r="M113" s="104"/>
      <c r="N113" s="61"/>
      <c r="O113" s="61"/>
      <c r="P113" s="30"/>
      <c r="Q113" s="47"/>
      <c r="R113" s="47"/>
      <c r="S113" s="30"/>
    </row>
    <row r="114" spans="2:19" x14ac:dyDescent="0.25">
      <c r="B114" s="39" t="s">
        <v>145</v>
      </c>
      <c r="C114" s="77">
        <v>0</v>
      </c>
      <c r="D114" s="25">
        <f>SUMIFS(BarangMasuk[Qty],BarangMasuk[Produk],LaporanStok[[#This Row],[Produk]])</f>
        <v>0</v>
      </c>
      <c r="E114" s="25">
        <f>SUMIFS(BarangKeluar[Qty],BarangKeluar[Produk],LaporanStok[[#This Row],[Produk]])</f>
        <v>0</v>
      </c>
      <c r="F114" s="40">
        <f>LaporanStok[[#This Row],[Awal]]+LaporanStok[[#This Row],[In]]-LaporanStok[[#This Row],[Out]]</f>
        <v>0</v>
      </c>
      <c r="H114" s="30"/>
      <c r="I114" s="124"/>
      <c r="J114" s="30"/>
      <c r="K114" s="30"/>
      <c r="L114" s="30"/>
      <c r="M114" s="104"/>
      <c r="N114" s="61"/>
      <c r="O114" s="61"/>
      <c r="P114" s="30"/>
      <c r="Q114" s="47"/>
      <c r="R114" s="47"/>
      <c r="S114" s="30"/>
    </row>
    <row r="115" spans="2:19" x14ac:dyDescent="0.25">
      <c r="B115" s="39" t="s">
        <v>146</v>
      </c>
      <c r="C115" s="77">
        <v>0</v>
      </c>
      <c r="D115" s="25">
        <f>SUMIFS(BarangMasuk[Qty],BarangMasuk[Produk],LaporanStok[[#This Row],[Produk]])</f>
        <v>0</v>
      </c>
      <c r="E115" s="25">
        <f>SUMIFS(BarangKeluar[Qty],BarangKeluar[Produk],LaporanStok[[#This Row],[Produk]])</f>
        <v>0</v>
      </c>
      <c r="F115" s="40">
        <f>LaporanStok[[#This Row],[Awal]]+LaporanStok[[#This Row],[In]]-LaporanStok[[#This Row],[Out]]</f>
        <v>0</v>
      </c>
      <c r="H115" s="30"/>
      <c r="I115" s="124"/>
      <c r="J115" s="30"/>
      <c r="K115" s="30"/>
      <c r="L115" s="30"/>
      <c r="M115" s="104"/>
      <c r="N115" s="61"/>
      <c r="O115" s="61"/>
      <c r="P115" s="30"/>
      <c r="Q115" s="47"/>
      <c r="R115" s="47"/>
      <c r="S115" s="30"/>
    </row>
    <row r="116" spans="2:19" x14ac:dyDescent="0.25">
      <c r="B116" s="39" t="s">
        <v>147</v>
      </c>
      <c r="C116" s="77">
        <v>0</v>
      </c>
      <c r="D116" s="25">
        <f>SUMIFS(BarangMasuk[Qty],BarangMasuk[Produk],LaporanStok[[#This Row],[Produk]])</f>
        <v>0</v>
      </c>
      <c r="E116" s="25">
        <f>SUMIFS(BarangKeluar[Qty],BarangKeluar[Produk],LaporanStok[[#This Row],[Produk]])</f>
        <v>0</v>
      </c>
      <c r="F116" s="40">
        <f>LaporanStok[[#This Row],[Awal]]+LaporanStok[[#This Row],[In]]-LaporanStok[[#This Row],[Out]]</f>
        <v>0</v>
      </c>
      <c r="H116" s="30"/>
      <c r="I116" s="124"/>
      <c r="J116" s="30"/>
      <c r="K116" s="30"/>
      <c r="L116" s="30"/>
      <c r="M116" s="104"/>
      <c r="N116" s="61"/>
      <c r="O116" s="61"/>
      <c r="P116" s="30"/>
      <c r="Q116" s="47"/>
      <c r="R116" s="47"/>
      <c r="S116" s="30"/>
    </row>
    <row r="117" spans="2:19" x14ac:dyDescent="0.25">
      <c r="B117" s="39" t="s">
        <v>148</v>
      </c>
      <c r="C117" s="77">
        <v>0</v>
      </c>
      <c r="D117" s="25">
        <f>SUMIFS(BarangMasuk[Qty],BarangMasuk[Produk],LaporanStok[[#This Row],[Produk]])</f>
        <v>0</v>
      </c>
      <c r="E117" s="25">
        <f>SUMIFS(BarangKeluar[Qty],BarangKeluar[Produk],LaporanStok[[#This Row],[Produk]])</f>
        <v>0</v>
      </c>
      <c r="F117" s="40">
        <f>LaporanStok[[#This Row],[Awal]]+LaporanStok[[#This Row],[In]]-LaporanStok[[#This Row],[Out]]</f>
        <v>0</v>
      </c>
      <c r="H117" s="30"/>
      <c r="I117" s="124"/>
      <c r="J117" s="30"/>
      <c r="K117" s="30"/>
      <c r="L117" s="30"/>
      <c r="M117" s="104"/>
      <c r="N117" s="61"/>
      <c r="O117" s="61"/>
      <c r="P117" s="30"/>
      <c r="Q117" s="47"/>
      <c r="R117" s="47"/>
      <c r="S117" s="30"/>
    </row>
    <row r="118" spans="2:19" x14ac:dyDescent="0.25">
      <c r="B118" s="39" t="s">
        <v>149</v>
      </c>
      <c r="C118" s="77">
        <v>0</v>
      </c>
      <c r="D118" s="25">
        <f>SUMIFS(BarangMasuk[Qty],BarangMasuk[Produk],LaporanStok[[#This Row],[Produk]])</f>
        <v>0</v>
      </c>
      <c r="E118" s="25">
        <f>SUMIFS(BarangKeluar[Qty],BarangKeluar[Produk],LaporanStok[[#This Row],[Produk]])</f>
        <v>0</v>
      </c>
      <c r="F118" s="40">
        <f>LaporanStok[[#This Row],[Awal]]+LaporanStok[[#This Row],[In]]-LaporanStok[[#This Row],[Out]]</f>
        <v>0</v>
      </c>
      <c r="H118" s="30"/>
      <c r="I118" s="124"/>
      <c r="J118" s="30"/>
      <c r="K118" s="30"/>
      <c r="L118" s="30"/>
      <c r="M118" s="104"/>
      <c r="N118" s="61"/>
      <c r="O118" s="61"/>
      <c r="P118" s="30"/>
      <c r="Q118" s="47"/>
      <c r="R118" s="47"/>
      <c r="S118" s="30"/>
    </row>
    <row r="119" spans="2:19" x14ac:dyDescent="0.25">
      <c r="B119" s="38" t="s">
        <v>150</v>
      </c>
      <c r="C119" s="77">
        <v>2</v>
      </c>
      <c r="D119" s="25">
        <f>SUMIFS(BarangMasuk[Qty],BarangMasuk[Produk],LaporanStok[[#This Row],[Produk]])</f>
        <v>0</v>
      </c>
      <c r="E119" s="25">
        <f>SUMIFS(BarangKeluar[Qty],BarangKeluar[Produk],LaporanStok[[#This Row],[Produk]])</f>
        <v>0</v>
      </c>
      <c r="F119" s="42">
        <f>LaporanStok[[#This Row],[Awal]]+LaporanStok[[#This Row],[In]]-LaporanStok[[#This Row],[Out]]</f>
        <v>2</v>
      </c>
      <c r="H119" s="30"/>
      <c r="I119" s="124"/>
      <c r="J119" s="30"/>
      <c r="K119" s="30"/>
      <c r="M119" s="104"/>
      <c r="N119" s="61"/>
      <c r="O119" s="61"/>
    </row>
    <row r="120" spans="2:19" x14ac:dyDescent="0.25">
      <c r="H120" s="30"/>
      <c r="I120" s="124"/>
      <c r="J120" s="30"/>
      <c r="K120" s="30"/>
      <c r="M120" s="104"/>
      <c r="N120" s="61"/>
      <c r="O120" s="61"/>
    </row>
    <row r="121" spans="2:19" x14ac:dyDescent="0.25">
      <c r="B121" t="s">
        <v>151</v>
      </c>
      <c r="C121">
        <v>1</v>
      </c>
      <c r="F121" s="24">
        <v>1</v>
      </c>
      <c r="H121" s="30"/>
      <c r="I121" s="124"/>
      <c r="J121" s="30"/>
      <c r="K121" s="30"/>
      <c r="M121" s="104"/>
      <c r="N121" s="61"/>
      <c r="O121" s="61"/>
    </row>
    <row r="122" spans="2:19" x14ac:dyDescent="0.25">
      <c r="B122" t="s">
        <v>152</v>
      </c>
      <c r="C122" s="24"/>
      <c r="H122" s="30"/>
      <c r="I122" s="124"/>
      <c r="J122" s="30"/>
      <c r="K122" s="30"/>
      <c r="M122" s="104"/>
      <c r="N122" s="61"/>
      <c r="O122" s="61"/>
    </row>
    <row r="123" spans="2:19" x14ac:dyDescent="0.25">
      <c r="B123" t="s">
        <v>153</v>
      </c>
      <c r="C123" s="24"/>
      <c r="H123" s="30"/>
      <c r="I123" s="124"/>
      <c r="J123" s="30"/>
      <c r="K123" s="30"/>
      <c r="M123" s="104"/>
      <c r="N123" s="61"/>
      <c r="O123" s="61"/>
    </row>
    <row r="124" spans="2:19" x14ac:dyDescent="0.25">
      <c r="H124" s="30"/>
      <c r="I124" s="124"/>
      <c r="J124" s="30"/>
      <c r="K124" s="30"/>
      <c r="M124" s="104"/>
      <c r="N124" s="61"/>
      <c r="O124" s="61"/>
    </row>
    <row r="125" spans="2:19" x14ac:dyDescent="0.25">
      <c r="H125" s="30"/>
      <c r="I125" s="124"/>
      <c r="J125" s="30"/>
      <c r="K125" s="30"/>
      <c r="M125" s="104"/>
      <c r="N125" s="61"/>
      <c r="O125" s="61"/>
    </row>
    <row r="126" spans="2:19" x14ac:dyDescent="0.25">
      <c r="H126" s="30"/>
      <c r="I126" s="124"/>
      <c r="J126" s="30"/>
      <c r="K126" s="30"/>
      <c r="M126" s="104"/>
      <c r="N126" s="61"/>
      <c r="O126" s="61"/>
    </row>
    <row r="127" spans="2:19" x14ac:dyDescent="0.25">
      <c r="H127" s="30"/>
      <c r="I127" s="124"/>
      <c r="J127" s="30"/>
      <c r="K127" s="30"/>
      <c r="M127" s="104"/>
      <c r="N127" s="61"/>
      <c r="O127" s="61"/>
    </row>
    <row r="128" spans="2:19" x14ac:dyDescent="0.25">
      <c r="H128" s="30"/>
      <c r="I128" s="124"/>
      <c r="J128" s="30"/>
      <c r="K128" s="30"/>
      <c r="M128" s="104"/>
      <c r="N128" s="61"/>
      <c r="O128" s="61"/>
    </row>
    <row r="129" spans="8:15" x14ac:dyDescent="0.25">
      <c r="H129" s="30"/>
      <c r="I129" s="124"/>
      <c r="J129" s="30"/>
      <c r="K129" s="30"/>
      <c r="M129" s="71"/>
      <c r="N129" s="61"/>
      <c r="O129" s="61"/>
    </row>
    <row r="130" spans="8:15" x14ac:dyDescent="0.25">
      <c r="H130" s="30"/>
      <c r="I130" s="124"/>
      <c r="J130" s="30"/>
      <c r="K130" s="30"/>
      <c r="M130" s="71"/>
      <c r="N130" s="61"/>
      <c r="O130" s="61"/>
    </row>
    <row r="131" spans="8:15" x14ac:dyDescent="0.25">
      <c r="M131" s="71"/>
      <c r="N131" s="61"/>
      <c r="O131" s="61"/>
    </row>
    <row r="132" spans="8:15" x14ac:dyDescent="0.25">
      <c r="M132" s="71"/>
      <c r="N132" s="61"/>
      <c r="O132" s="61"/>
    </row>
    <row r="133" spans="8:15" x14ac:dyDescent="0.25">
      <c r="M133" s="71"/>
      <c r="N133" s="61"/>
      <c r="O133" s="61"/>
    </row>
    <row r="134" spans="8:15" x14ac:dyDescent="0.25">
      <c r="M134" s="71"/>
      <c r="N134" s="61"/>
      <c r="O134" s="61"/>
    </row>
    <row r="135" spans="8:15" x14ac:dyDescent="0.25">
      <c r="M135" s="71"/>
      <c r="N135" s="61"/>
      <c r="O135" s="61"/>
    </row>
    <row r="136" spans="8:15" x14ac:dyDescent="0.25">
      <c r="M136" s="71"/>
      <c r="N136" s="61"/>
      <c r="O136" s="61"/>
    </row>
    <row r="137" spans="8:15" x14ac:dyDescent="0.25">
      <c r="M137" s="71"/>
      <c r="N137" s="61"/>
      <c r="O137" s="61"/>
    </row>
    <row r="138" spans="8:15" x14ac:dyDescent="0.25">
      <c r="M138" s="71"/>
      <c r="N138" s="61"/>
      <c r="O138" s="61"/>
    </row>
    <row r="139" spans="8:15" x14ac:dyDescent="0.25">
      <c r="M139" s="72"/>
      <c r="N139" s="30"/>
      <c r="O139" s="30"/>
    </row>
    <row r="140" spans="8:15" x14ac:dyDescent="0.25">
      <c r="M140" s="72"/>
      <c r="N140" s="30"/>
      <c r="O140" s="30"/>
    </row>
    <row r="141" spans="8:15" x14ac:dyDescent="0.25">
      <c r="M141" s="72"/>
      <c r="N141" s="30"/>
      <c r="O141" s="30"/>
    </row>
    <row r="142" spans="8:15" x14ac:dyDescent="0.25">
      <c r="M142" s="72"/>
      <c r="N142" s="30"/>
      <c r="O142" s="30"/>
    </row>
    <row r="143" spans="8:15" x14ac:dyDescent="0.25">
      <c r="M143" s="72"/>
      <c r="N143" s="30"/>
      <c r="O143" s="30"/>
    </row>
    <row r="144" spans="8:15" x14ac:dyDescent="0.25">
      <c r="M144" s="72"/>
      <c r="N144" s="30"/>
      <c r="O144" s="30"/>
    </row>
    <row r="145" spans="13:15" x14ac:dyDescent="0.25">
      <c r="M145" s="72"/>
      <c r="N145" s="30"/>
      <c r="O145" s="30"/>
    </row>
    <row r="146" spans="13:15" x14ac:dyDescent="0.25">
      <c r="M146" s="73"/>
      <c r="N146" s="32"/>
      <c r="O146" s="32"/>
    </row>
    <row r="147" spans="13:15" x14ac:dyDescent="0.25">
      <c r="M147" s="72"/>
      <c r="N147" s="30"/>
      <c r="O147" s="30"/>
    </row>
    <row r="148" spans="13:15" x14ac:dyDescent="0.25">
      <c r="M148" s="72"/>
      <c r="N148" s="30"/>
      <c r="O148" s="30"/>
    </row>
    <row r="149" spans="13:15" x14ac:dyDescent="0.25">
      <c r="M149" s="72"/>
      <c r="N149" s="30"/>
      <c r="O149" s="30"/>
    </row>
    <row r="150" spans="13:15" x14ac:dyDescent="0.25">
      <c r="M150" s="72"/>
      <c r="N150" s="30"/>
      <c r="O150" s="30"/>
    </row>
    <row r="151" spans="13:15" x14ac:dyDescent="0.25">
      <c r="M151" s="72"/>
      <c r="N151" s="30"/>
      <c r="O151" s="30"/>
    </row>
    <row r="152" spans="13:15" x14ac:dyDescent="0.25">
      <c r="M152" s="72"/>
      <c r="N152" s="30"/>
      <c r="O152" s="30"/>
    </row>
    <row r="153" spans="13:15" x14ac:dyDescent="0.25">
      <c r="M153" s="72"/>
      <c r="N153" s="30"/>
      <c r="O153" s="30"/>
    </row>
    <row r="154" spans="13:15" x14ac:dyDescent="0.25">
      <c r="M154" s="72"/>
      <c r="N154" s="30"/>
      <c r="O154" s="30"/>
    </row>
    <row r="155" spans="13:15" x14ac:dyDescent="0.25">
      <c r="M155" s="72"/>
      <c r="N155" s="30"/>
      <c r="O155" s="30"/>
    </row>
    <row r="156" spans="13:15" x14ac:dyDescent="0.25">
      <c r="M156" s="72"/>
      <c r="N156" s="30"/>
      <c r="O156" s="30"/>
    </row>
    <row r="157" spans="13:15" x14ac:dyDescent="0.25">
      <c r="M157" s="72"/>
      <c r="N157" s="30"/>
      <c r="O157" s="30"/>
    </row>
    <row r="158" spans="13:15" x14ac:dyDescent="0.25">
      <c r="M158" s="72"/>
      <c r="N158" s="30"/>
      <c r="O158" s="30"/>
    </row>
    <row r="159" spans="13:15" x14ac:dyDescent="0.25">
      <c r="M159" s="72"/>
      <c r="N159" s="30"/>
      <c r="O159" s="30"/>
    </row>
    <row r="160" spans="13:15" x14ac:dyDescent="0.25">
      <c r="M160" s="72"/>
      <c r="N160" s="30"/>
      <c r="O160" s="30"/>
    </row>
    <row r="161" spans="13:15" x14ac:dyDescent="0.25">
      <c r="M161" s="72"/>
      <c r="N161" s="30"/>
      <c r="O161" s="30"/>
    </row>
    <row r="162" spans="13:15" x14ac:dyDescent="0.25">
      <c r="M162" s="72"/>
      <c r="N162" s="30"/>
      <c r="O162" s="30"/>
    </row>
    <row r="163" spans="13:15" x14ac:dyDescent="0.25">
      <c r="M163" s="72"/>
      <c r="N163" s="30"/>
      <c r="O163" s="30"/>
    </row>
    <row r="164" spans="13:15" x14ac:dyDescent="0.25">
      <c r="M164" s="72"/>
      <c r="N164" s="30"/>
      <c r="O164" s="30"/>
    </row>
    <row r="165" spans="13:15" x14ac:dyDescent="0.25">
      <c r="M165" s="72"/>
      <c r="N165" s="30"/>
      <c r="O165" s="30"/>
    </row>
    <row r="166" spans="13:15" x14ac:dyDescent="0.25">
      <c r="M166" s="72"/>
      <c r="N166" s="30"/>
      <c r="O166" s="30"/>
    </row>
    <row r="167" spans="13:15" x14ac:dyDescent="0.25">
      <c r="M167" s="72"/>
      <c r="N167" s="30"/>
      <c r="O167" s="30"/>
    </row>
    <row r="168" spans="13:15" x14ac:dyDescent="0.25">
      <c r="M168" s="72"/>
      <c r="N168" s="30"/>
      <c r="O168" s="30"/>
    </row>
    <row r="169" spans="13:15" x14ac:dyDescent="0.25">
      <c r="M169" s="72"/>
      <c r="N169" s="30"/>
      <c r="O169" s="30"/>
    </row>
    <row r="170" spans="13:15" x14ac:dyDescent="0.25">
      <c r="M170" s="72"/>
      <c r="N170" s="30"/>
      <c r="O170" s="30"/>
    </row>
    <row r="171" spans="13:15" x14ac:dyDescent="0.25">
      <c r="M171" s="72"/>
      <c r="N171" s="30"/>
      <c r="O171" s="30"/>
    </row>
    <row r="172" spans="13:15" x14ac:dyDescent="0.25">
      <c r="M172" s="72"/>
      <c r="N172" s="30"/>
      <c r="O172" s="30"/>
    </row>
    <row r="173" spans="13:15" x14ac:dyDescent="0.25">
      <c r="M173" s="72"/>
      <c r="N173" s="30"/>
      <c r="O173" s="30"/>
    </row>
    <row r="174" spans="13:15" x14ac:dyDescent="0.25">
      <c r="M174" s="72"/>
      <c r="N174" s="30"/>
      <c r="O174" s="30"/>
    </row>
    <row r="175" spans="13:15" x14ac:dyDescent="0.25">
      <c r="M175" s="72"/>
      <c r="N175" s="30"/>
      <c r="O175" s="30"/>
    </row>
    <row r="176" spans="13:15" x14ac:dyDescent="0.25">
      <c r="M176" s="72"/>
      <c r="N176" s="30"/>
      <c r="O176" s="30"/>
    </row>
    <row r="177" spans="13:15" x14ac:dyDescent="0.25">
      <c r="M177" s="72"/>
      <c r="N177" s="30"/>
      <c r="O177" s="30"/>
    </row>
    <row r="178" spans="13:15" x14ac:dyDescent="0.25">
      <c r="M178" s="72"/>
      <c r="N178" s="30"/>
      <c r="O178" s="30"/>
    </row>
    <row r="179" spans="13:15" x14ac:dyDescent="0.25">
      <c r="M179" s="72"/>
      <c r="N179" s="30"/>
      <c r="O179" s="30"/>
    </row>
    <row r="180" spans="13:15" x14ac:dyDescent="0.25">
      <c r="M180" s="72"/>
      <c r="N180" s="30"/>
      <c r="O180" s="30"/>
    </row>
    <row r="181" spans="13:15" x14ac:dyDescent="0.25">
      <c r="M181" s="72"/>
      <c r="N181" s="30"/>
      <c r="O181" s="30"/>
    </row>
    <row r="182" spans="13:15" x14ac:dyDescent="0.25">
      <c r="M182" s="72"/>
      <c r="N182" s="30"/>
      <c r="O182" s="30"/>
    </row>
    <row r="183" spans="13:15" x14ac:dyDescent="0.25">
      <c r="M183" s="72"/>
      <c r="N183" s="30"/>
      <c r="O183" s="30"/>
    </row>
    <row r="184" spans="13:15" x14ac:dyDescent="0.25">
      <c r="M184" s="72"/>
      <c r="N184" s="30"/>
      <c r="O184" s="30"/>
    </row>
    <row r="185" spans="13:15" x14ac:dyDescent="0.25">
      <c r="M185" s="72"/>
      <c r="N185" s="30"/>
      <c r="O185" s="30"/>
    </row>
    <row r="186" spans="13:15" x14ac:dyDescent="0.25">
      <c r="M186" s="72"/>
      <c r="N186" s="30"/>
      <c r="O186" s="30"/>
    </row>
    <row r="187" spans="13:15" x14ac:dyDescent="0.25">
      <c r="M187" s="72"/>
      <c r="N187" s="30"/>
      <c r="O187" s="30"/>
    </row>
    <row r="188" spans="13:15" x14ac:dyDescent="0.25">
      <c r="M188" s="72"/>
      <c r="N188" s="30"/>
      <c r="O188" s="30"/>
    </row>
    <row r="189" spans="13:15" x14ac:dyDescent="0.25">
      <c r="M189" s="72"/>
      <c r="N189" s="30"/>
      <c r="O189" s="30"/>
    </row>
    <row r="190" spans="13:15" x14ac:dyDescent="0.25">
      <c r="M190" s="72"/>
      <c r="N190" s="30"/>
      <c r="O190" s="30"/>
    </row>
    <row r="191" spans="13:15" x14ac:dyDescent="0.25">
      <c r="M191" s="72"/>
      <c r="N191" s="30"/>
      <c r="O191" s="30"/>
    </row>
    <row r="192" spans="13:15" x14ac:dyDescent="0.25">
      <c r="M192" s="72"/>
      <c r="N192" s="30"/>
      <c r="O192" s="30"/>
    </row>
    <row r="193" spans="13:15" x14ac:dyDescent="0.25">
      <c r="M193" s="72"/>
      <c r="N193" s="30"/>
      <c r="O193" s="30"/>
    </row>
    <row r="194" spans="13:15" x14ac:dyDescent="0.25">
      <c r="M194" s="72"/>
      <c r="N194" s="30"/>
      <c r="O194" s="30"/>
    </row>
    <row r="195" spans="13:15" x14ac:dyDescent="0.25">
      <c r="M195" s="72"/>
      <c r="N195" s="30"/>
      <c r="O195" s="30"/>
    </row>
    <row r="196" spans="13:15" x14ac:dyDescent="0.25">
      <c r="M196" s="72"/>
      <c r="N196" s="30"/>
      <c r="O196" s="30"/>
    </row>
    <row r="197" spans="13:15" x14ac:dyDescent="0.25">
      <c r="M197" s="72"/>
      <c r="N197" s="30"/>
      <c r="O197" s="30"/>
    </row>
    <row r="198" spans="13:15" x14ac:dyDescent="0.25">
      <c r="M198" s="72"/>
      <c r="N198" s="30"/>
      <c r="O198" s="30"/>
    </row>
    <row r="199" spans="13:15" x14ac:dyDescent="0.25">
      <c r="M199" s="72"/>
      <c r="N199" s="30"/>
      <c r="O199" s="30"/>
    </row>
    <row r="200" spans="13:15" x14ac:dyDescent="0.25">
      <c r="M200" s="72"/>
      <c r="N200" s="30"/>
      <c r="O200" s="30"/>
    </row>
    <row r="201" spans="13:15" x14ac:dyDescent="0.25">
      <c r="M201" s="72"/>
      <c r="N201" s="30"/>
      <c r="O201" s="30"/>
    </row>
    <row r="202" spans="13:15" x14ac:dyDescent="0.25">
      <c r="M202" s="72"/>
      <c r="N202" s="30"/>
      <c r="O202" s="30"/>
    </row>
    <row r="203" spans="13:15" x14ac:dyDescent="0.25">
      <c r="M203" s="72"/>
      <c r="N203" s="30"/>
      <c r="O203" s="30"/>
    </row>
    <row r="204" spans="13:15" x14ac:dyDescent="0.25">
      <c r="M204" s="72"/>
      <c r="N204" s="30"/>
      <c r="O204" s="30"/>
    </row>
    <row r="205" spans="13:15" x14ac:dyDescent="0.25">
      <c r="M205" s="72"/>
      <c r="N205" s="30"/>
      <c r="O205" s="30"/>
    </row>
    <row r="206" spans="13:15" x14ac:dyDescent="0.25">
      <c r="M206" s="72"/>
      <c r="N206" s="30"/>
      <c r="O206" s="30"/>
    </row>
    <row r="207" spans="13:15" x14ac:dyDescent="0.25">
      <c r="M207" s="72"/>
      <c r="N207" s="30"/>
      <c r="O207" s="30"/>
    </row>
    <row r="208" spans="13:15" x14ac:dyDescent="0.25">
      <c r="M208" s="72"/>
      <c r="N208" s="30"/>
      <c r="O208" s="30"/>
    </row>
    <row r="209" spans="13:15" x14ac:dyDescent="0.25">
      <c r="M209" s="72"/>
      <c r="N209" s="30"/>
      <c r="O209" s="30"/>
    </row>
    <row r="210" spans="13:15" x14ac:dyDescent="0.25">
      <c r="M210" s="72"/>
      <c r="N210" s="30"/>
      <c r="O210" s="30"/>
    </row>
    <row r="211" spans="13:15" x14ac:dyDescent="0.25">
      <c r="M211" s="72"/>
      <c r="N211" s="30"/>
      <c r="O211" s="30"/>
    </row>
    <row r="212" spans="13:15" x14ac:dyDescent="0.25">
      <c r="M212" s="72"/>
      <c r="N212" s="30"/>
      <c r="O212" s="30"/>
    </row>
    <row r="213" spans="13:15" x14ac:dyDescent="0.25">
      <c r="M213" s="72"/>
      <c r="N213" s="30"/>
      <c r="O213" s="30"/>
    </row>
    <row r="214" spans="13:15" x14ac:dyDescent="0.25">
      <c r="M214" s="72"/>
      <c r="N214" s="30"/>
      <c r="O214" s="30"/>
    </row>
    <row r="215" spans="13:15" x14ac:dyDescent="0.25">
      <c r="M215" s="72"/>
      <c r="N215" s="30"/>
      <c r="O215" s="30"/>
    </row>
    <row r="216" spans="13:15" x14ac:dyDescent="0.25">
      <c r="M216" s="72"/>
      <c r="N216" s="30"/>
      <c r="O216" s="30"/>
    </row>
    <row r="217" spans="13:15" x14ac:dyDescent="0.25">
      <c r="M217" s="72"/>
      <c r="N217" s="30"/>
      <c r="O217" s="30"/>
    </row>
    <row r="218" spans="13:15" x14ac:dyDescent="0.25">
      <c r="M218" s="72"/>
      <c r="N218" s="30"/>
      <c r="O218" s="30"/>
    </row>
    <row r="219" spans="13:15" x14ac:dyDescent="0.25">
      <c r="M219" s="72"/>
      <c r="N219" s="30"/>
      <c r="O219" s="30"/>
    </row>
    <row r="220" spans="13:15" x14ac:dyDescent="0.25">
      <c r="M220" s="72"/>
      <c r="N220" s="30"/>
      <c r="O220" s="30"/>
    </row>
    <row r="221" spans="13:15" x14ac:dyDescent="0.25">
      <c r="M221" s="72"/>
      <c r="N221" s="30"/>
      <c r="O221" s="30"/>
    </row>
    <row r="222" spans="13:15" x14ac:dyDescent="0.25">
      <c r="M222" s="72"/>
      <c r="N222" s="30"/>
      <c r="O222" s="30"/>
    </row>
    <row r="223" spans="13:15" x14ac:dyDescent="0.25">
      <c r="M223" s="72"/>
      <c r="N223" s="30"/>
      <c r="O223" s="30"/>
    </row>
    <row r="224" spans="13:15" x14ac:dyDescent="0.25">
      <c r="M224" s="72"/>
      <c r="N224" s="30"/>
      <c r="O224" s="30"/>
    </row>
    <row r="225" spans="13:15" x14ac:dyDescent="0.25">
      <c r="M225" s="72"/>
      <c r="N225" s="30"/>
      <c r="O225" s="30"/>
    </row>
    <row r="226" spans="13:15" x14ac:dyDescent="0.25">
      <c r="M226" s="72"/>
      <c r="N226" s="30"/>
      <c r="O226" s="30"/>
    </row>
    <row r="227" spans="13:15" x14ac:dyDescent="0.25">
      <c r="M227" s="72"/>
      <c r="N227" s="30"/>
      <c r="O227" s="30"/>
    </row>
    <row r="228" spans="13:15" x14ac:dyDescent="0.25">
      <c r="M228" s="72"/>
      <c r="N228" s="30"/>
      <c r="O228" s="30"/>
    </row>
    <row r="229" spans="13:15" x14ac:dyDescent="0.25">
      <c r="M229" s="72"/>
      <c r="N229" s="30"/>
      <c r="O229" s="30"/>
    </row>
    <row r="230" spans="13:15" x14ac:dyDescent="0.25">
      <c r="M230" s="72"/>
      <c r="N230" s="30"/>
      <c r="O230" s="30"/>
    </row>
    <row r="231" spans="13:15" x14ac:dyDescent="0.25">
      <c r="M231" s="72"/>
      <c r="N231" s="30"/>
      <c r="O231" s="30"/>
    </row>
    <row r="232" spans="13:15" x14ac:dyDescent="0.25">
      <c r="M232" s="72"/>
      <c r="N232" s="30"/>
      <c r="O232" s="30"/>
    </row>
    <row r="233" spans="13:15" x14ac:dyDescent="0.25">
      <c r="M233" s="72"/>
      <c r="N233" s="30"/>
      <c r="O233" s="30"/>
    </row>
    <row r="234" spans="13:15" x14ac:dyDescent="0.25">
      <c r="M234" s="72"/>
      <c r="N234" s="30"/>
      <c r="O234" s="30"/>
    </row>
    <row r="235" spans="13:15" x14ac:dyDescent="0.25">
      <c r="M235" s="72"/>
      <c r="N235" s="30"/>
      <c r="O235" s="30"/>
    </row>
    <row r="236" spans="13:15" x14ac:dyDescent="0.25">
      <c r="M236" s="72"/>
      <c r="N236" s="30"/>
      <c r="O236" s="30"/>
    </row>
    <row r="237" spans="13:15" x14ac:dyDescent="0.25">
      <c r="M237" s="72"/>
      <c r="N237" s="30"/>
      <c r="O237" s="30"/>
    </row>
    <row r="238" spans="13:15" x14ac:dyDescent="0.25">
      <c r="M238" s="72"/>
      <c r="N238" s="30"/>
      <c r="O238" s="30"/>
    </row>
    <row r="239" spans="13:15" x14ac:dyDescent="0.25">
      <c r="M239" s="72"/>
      <c r="N239" s="30"/>
      <c r="O239" s="30"/>
    </row>
    <row r="240" spans="13:15" x14ac:dyDescent="0.25">
      <c r="M240" s="72"/>
      <c r="N240" s="30"/>
      <c r="O240" s="30"/>
    </row>
    <row r="241" spans="13:15" x14ac:dyDescent="0.25">
      <c r="M241" s="72"/>
      <c r="N241" s="30"/>
      <c r="O241" s="30"/>
    </row>
    <row r="242" spans="13:15" x14ac:dyDescent="0.25">
      <c r="M242" s="72"/>
      <c r="N242" s="30"/>
      <c r="O242" s="30"/>
    </row>
    <row r="243" spans="13:15" x14ac:dyDescent="0.25">
      <c r="M243" s="72"/>
      <c r="N243" s="30"/>
      <c r="O243" s="30"/>
    </row>
    <row r="244" spans="13:15" x14ac:dyDescent="0.25">
      <c r="M244" s="72"/>
      <c r="N244" s="30"/>
      <c r="O244" s="30"/>
    </row>
    <row r="245" spans="13:15" x14ac:dyDescent="0.25">
      <c r="M245" s="72"/>
      <c r="N245" s="30"/>
      <c r="O245" s="30"/>
    </row>
    <row r="246" spans="13:15" x14ac:dyDescent="0.25">
      <c r="M246" s="72"/>
      <c r="N246" s="30"/>
      <c r="O246" s="30"/>
    </row>
    <row r="247" spans="13:15" x14ac:dyDescent="0.25">
      <c r="M247" s="72"/>
      <c r="N247" s="30"/>
      <c r="O247" s="30"/>
    </row>
    <row r="248" spans="13:15" x14ac:dyDescent="0.25">
      <c r="M248" s="72"/>
      <c r="N248" s="30"/>
      <c r="O248" s="30"/>
    </row>
    <row r="249" spans="13:15" x14ac:dyDescent="0.25">
      <c r="M249" s="72"/>
      <c r="N249" s="30"/>
      <c r="O249" s="30"/>
    </row>
    <row r="250" spans="13:15" x14ac:dyDescent="0.25">
      <c r="M250" s="72"/>
      <c r="N250" s="30"/>
      <c r="O250" s="30"/>
    </row>
  </sheetData>
  <mergeCells count="2">
    <mergeCell ref="C3:D3"/>
    <mergeCell ref="C4:D4"/>
  </mergeCells>
  <phoneticPr fontId="4" type="noConversion"/>
  <conditionalFormatting sqref="H1">
    <cfRule type="duplicateValues" dxfId="9" priority="8"/>
  </conditionalFormatting>
  <conditionalFormatting sqref="M1">
    <cfRule type="duplicateValues" dxfId="8" priority="7"/>
  </conditionalFormatting>
  <conditionalFormatting sqref="C4">
    <cfRule type="duplicateValues" dxfId="7" priority="6"/>
  </conditionalFormatting>
  <conditionalFormatting sqref="F7:G119">
    <cfRule type="cellIs" dxfId="6" priority="4" operator="lessThan">
      <formula>0</formula>
    </cfRule>
  </conditionalFormatting>
  <conditionalFormatting sqref="F7:G1048576">
    <cfRule type="cellIs" dxfId="5" priority="1" operator="lessThan">
      <formula>0</formula>
    </cfRule>
  </conditionalFormatting>
  <dataValidations count="3">
    <dataValidation allowBlank="1" showInputMessage="1" sqref="I7 M7" xr:uid="{412AE06A-9E2D-4514-A9A3-E4BA90961610}"/>
    <dataValidation type="list" allowBlank="1" showInputMessage="1" sqref="M3" xr:uid="{9190F788-83DD-488E-94E4-C02E2F2B7DCF}">
      <formula1>_xlfn.ANCHORARRAY($R$7)</formula1>
    </dataValidation>
    <dataValidation type="list" allowBlank="1" showInputMessage="1" sqref="I3" xr:uid="{5F427C03-075D-4A8C-838A-5A342252CC95}">
      <formula1>_xlfn.ANCHORARRAY($Q$7)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Barang_masuk">
                <anchor moveWithCells="1" sizeWithCells="1">
                  <from>
                    <xdr:col>9</xdr:col>
                    <xdr:colOff>123825</xdr:colOff>
                    <xdr:row>2</xdr:row>
                    <xdr:rowOff>38100</xdr:rowOff>
                  </from>
                  <to>
                    <xdr:col>9</xdr:col>
                    <xdr:colOff>733425</xdr:colOff>
                    <xdr:row>3</xdr:row>
                    <xdr:rowOff>152400</xdr:rowOff>
                  </to>
                </anchor>
              </controlPr>
            </control>
          </mc:Choice>
        </mc:AlternateContent>
        <mc:AlternateContent xmlns:mc="http://schemas.openxmlformats.org/markup-compatibility/2006">
          <mc:Choice Requires="x14">
            <control shapeId="4103" r:id="rId5" name="Button 7">
              <controlPr defaultSize="0" print="0" autoFill="0" autoPict="0" macro="[0]!Barang_keluar">
                <anchor moveWithCells="1" sizeWithCells="1">
                  <from>
                    <xdr:col>13</xdr:col>
                    <xdr:colOff>123825</xdr:colOff>
                    <xdr:row>2</xdr:row>
                    <xdr:rowOff>38100</xdr:rowOff>
                  </from>
                  <to>
                    <xdr:col>13</xdr:col>
                    <xdr:colOff>733425</xdr:colOff>
                    <xdr:row>3</xdr:row>
                    <xdr:rowOff>152400</xdr:rowOff>
                  </to>
                </anchor>
              </controlPr>
            </control>
          </mc:Choice>
        </mc:AlternateContent>
        <mc:AlternateContent xmlns:mc="http://schemas.openxmlformats.org/markup-compatibility/2006">
          <mc:Choice Requires="x14">
            <control shapeId="4112" r:id="rId6" name="Button 16">
              <controlPr defaultSize="0" print="0" autoFill="0" autoPict="0" macro="[0]!ClosingStock">
                <anchor moveWithCells="1" sizeWithCells="1">
                  <from>
                    <xdr:col>4</xdr:col>
                    <xdr:colOff>142875</xdr:colOff>
                    <xdr:row>2</xdr:row>
                    <xdr:rowOff>38100</xdr:rowOff>
                  </from>
                  <to>
                    <xdr:col>5</xdr:col>
                    <xdr:colOff>495300</xdr:colOff>
                    <xdr:row>3</xdr:row>
                    <xdr:rowOff>161925</xdr:rowOff>
                  </to>
                </anchor>
              </controlPr>
            </control>
          </mc:Choice>
        </mc:AlternateContent>
      </controls>
    </mc:Choice>
  </mc:AlternateContent>
  <tableParts count="3">
    <tablePart r:id="rId7"/>
    <tablePart r:id="rId8"/>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90A8-F197-49BE-A057-9C90695FAEB1}">
  <sheetPr codeName="Sheet3"/>
  <dimension ref="A1:B5"/>
  <sheetViews>
    <sheetView workbookViewId="0">
      <selection activeCell="J8" sqref="J8"/>
    </sheetView>
  </sheetViews>
  <sheetFormatPr defaultRowHeight="15" x14ac:dyDescent="0.25"/>
  <cols>
    <col min="2" max="2" width="9.7109375" bestFit="1" customWidth="1"/>
  </cols>
  <sheetData>
    <row r="1" spans="1:2" x14ac:dyDescent="0.25">
      <c r="A1" t="s">
        <v>154</v>
      </c>
    </row>
    <row r="2" spans="1:2" x14ac:dyDescent="0.25">
      <c r="A2" t="s">
        <v>155</v>
      </c>
    </row>
    <row r="3" spans="1:2" x14ac:dyDescent="0.25">
      <c r="A3" t="s">
        <v>156</v>
      </c>
      <c r="B3" s="80">
        <f ca="1">TODAY()</f>
        <v>46258</v>
      </c>
    </row>
    <row r="5" spans="1:2" x14ac:dyDescent="0.25">
      <c r="A5" t="s">
        <v>157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700B7-93DD-4712-9126-34241CB2A311}">
  <sheetPr codeName="Sheet1">
    <tabColor rgb="FFFF0000"/>
  </sheetPr>
  <dimension ref="B1:AY2208"/>
  <sheetViews>
    <sheetView showGridLines="0" workbookViewId="0">
      <pane xSplit="2" ySplit="2" topLeftCell="C78" activePane="bottomRight" state="frozen"/>
      <selection pane="topRight" activeCell="M16" sqref="M16"/>
      <selection pane="bottomLeft" activeCell="M16" sqref="M16"/>
      <selection pane="bottomRight" activeCell="AA3" sqref="AA3:AA21"/>
    </sheetView>
  </sheetViews>
  <sheetFormatPr defaultColWidth="9.140625" defaultRowHeight="15" x14ac:dyDescent="0.25"/>
  <cols>
    <col min="1" max="1" width="4.85546875" customWidth="1"/>
    <col min="2" max="2" width="23.140625" customWidth="1"/>
    <col min="3" max="44" width="5.5703125" customWidth="1"/>
    <col min="45" max="45" width="3" customWidth="1"/>
    <col min="46" max="46" width="19" customWidth="1"/>
    <col min="47" max="47" width="6.5703125" style="14" customWidth="1"/>
    <col min="48" max="48" width="3" customWidth="1"/>
    <col min="49" max="49" width="11.140625" style="33" hidden="1" customWidth="1"/>
    <col min="50" max="50" width="10.7109375" style="33" hidden="1" customWidth="1"/>
    <col min="51" max="51" width="16" hidden="1" customWidth="1"/>
  </cols>
  <sheetData>
    <row r="1" spans="2:51" x14ac:dyDescent="0.25">
      <c r="B1" s="13"/>
      <c r="C1" s="107" t="s">
        <v>158</v>
      </c>
      <c r="D1" s="108"/>
      <c r="E1" s="108"/>
      <c r="F1" s="108"/>
      <c r="G1" s="108"/>
      <c r="H1" s="108"/>
      <c r="I1" s="108"/>
      <c r="J1" s="108"/>
      <c r="K1" s="108"/>
      <c r="L1" s="108"/>
      <c r="M1" s="108"/>
      <c r="N1" s="108"/>
      <c r="O1" s="108"/>
      <c r="P1" s="108"/>
      <c r="Q1" s="108"/>
      <c r="R1" s="108"/>
      <c r="S1" s="108"/>
      <c r="T1" s="108"/>
      <c r="U1" s="108"/>
      <c r="V1" s="108"/>
      <c r="W1" s="109"/>
      <c r="X1" s="102"/>
      <c r="Y1" s="102"/>
      <c r="Z1" s="102"/>
      <c r="AA1" s="102"/>
      <c r="AB1" s="102"/>
      <c r="AC1" s="102"/>
      <c r="AD1" s="102"/>
      <c r="AE1" s="102"/>
      <c r="AF1" s="102"/>
      <c r="AG1" s="102"/>
      <c r="AH1" s="102"/>
      <c r="AI1" s="102"/>
      <c r="AJ1" s="102"/>
      <c r="AK1" s="102"/>
      <c r="AL1" s="102"/>
      <c r="AM1" s="102"/>
      <c r="AN1" s="102"/>
      <c r="AO1" s="102"/>
      <c r="AP1" s="102"/>
      <c r="AQ1" s="102"/>
      <c r="AR1" s="102"/>
      <c r="AT1" s="57" t="s">
        <v>159</v>
      </c>
      <c r="AU1" s="15">
        <f>COUNTA($C$2:W2)</f>
        <v>21</v>
      </c>
    </row>
    <row r="2" spans="2:51" x14ac:dyDescent="0.25">
      <c r="B2" s="105" t="s">
        <v>4</v>
      </c>
      <c r="C2" s="110" t="s">
        <v>16</v>
      </c>
      <c r="D2" s="111" t="s">
        <v>160</v>
      </c>
      <c r="E2" s="111" t="s">
        <v>60</v>
      </c>
      <c r="F2" s="111" t="s">
        <v>161</v>
      </c>
      <c r="G2" s="111" t="s">
        <v>162</v>
      </c>
      <c r="H2" s="111" t="s">
        <v>163</v>
      </c>
      <c r="I2" s="111" t="s">
        <v>47</v>
      </c>
      <c r="J2" s="111" t="s">
        <v>3</v>
      </c>
      <c r="K2" s="111" t="s">
        <v>164</v>
      </c>
      <c r="L2" s="111" t="s">
        <v>42</v>
      </c>
      <c r="M2" s="111" t="s">
        <v>46</v>
      </c>
      <c r="N2" s="111" t="s">
        <v>165</v>
      </c>
      <c r="O2" s="111" t="s">
        <v>40</v>
      </c>
      <c r="P2" s="111" t="s">
        <v>166</v>
      </c>
      <c r="Q2" s="111" t="s">
        <v>167</v>
      </c>
      <c r="R2" s="111" t="s">
        <v>168</v>
      </c>
      <c r="S2" s="111" t="s">
        <v>169</v>
      </c>
      <c r="T2" s="111" t="s">
        <v>170</v>
      </c>
      <c r="U2" s="111" t="s">
        <v>41</v>
      </c>
      <c r="V2" s="111" t="s">
        <v>38</v>
      </c>
      <c r="W2" s="111" t="s">
        <v>56</v>
      </c>
      <c r="X2" s="111" t="s">
        <v>55</v>
      </c>
      <c r="Y2" s="111" t="s">
        <v>32</v>
      </c>
      <c r="Z2" s="111" t="s">
        <v>28</v>
      </c>
      <c r="AA2" s="111" t="s">
        <v>257</v>
      </c>
      <c r="AB2" s="111" t="s">
        <v>256</v>
      </c>
      <c r="AC2" s="111"/>
      <c r="AD2" s="111"/>
      <c r="AE2" s="111"/>
      <c r="AF2" s="111"/>
      <c r="AG2" s="111"/>
      <c r="AH2" s="111"/>
      <c r="AI2" s="111"/>
      <c r="AJ2" s="111"/>
      <c r="AK2" s="111"/>
      <c r="AL2" s="111"/>
      <c r="AM2" s="111"/>
      <c r="AN2" s="111"/>
      <c r="AO2" s="111"/>
      <c r="AP2" s="111"/>
      <c r="AQ2" s="111"/>
      <c r="AR2" s="112"/>
      <c r="AT2" s="57" t="s">
        <v>171</v>
      </c>
      <c r="AU2" s="15">
        <f>COUNTA($B$3:B122)</f>
        <v>120</v>
      </c>
    </row>
    <row r="3" spans="2:51" x14ac:dyDescent="0.25">
      <c r="B3" s="106" t="s">
        <v>35</v>
      </c>
      <c r="C3" s="18">
        <v>67</v>
      </c>
      <c r="D3" s="19">
        <v>67</v>
      </c>
      <c r="E3" s="19">
        <v>63</v>
      </c>
      <c r="F3" s="19">
        <v>63</v>
      </c>
      <c r="G3" s="19">
        <v>63</v>
      </c>
      <c r="H3" s="19">
        <v>0</v>
      </c>
      <c r="I3" s="19">
        <v>63</v>
      </c>
      <c r="J3" s="19">
        <v>63</v>
      </c>
      <c r="K3" s="19">
        <v>63</v>
      </c>
      <c r="L3" s="19">
        <v>63</v>
      </c>
      <c r="M3" s="19">
        <v>63</v>
      </c>
      <c r="N3" s="19">
        <v>67</v>
      </c>
      <c r="O3" s="19">
        <v>67</v>
      </c>
      <c r="P3" s="19">
        <v>67</v>
      </c>
      <c r="Q3" s="19">
        <v>63</v>
      </c>
      <c r="R3" s="19">
        <v>67</v>
      </c>
      <c r="S3" s="19">
        <v>67</v>
      </c>
      <c r="T3" s="19">
        <v>65</v>
      </c>
      <c r="U3" s="19">
        <v>63</v>
      </c>
      <c r="V3" s="19">
        <v>63</v>
      </c>
      <c r="W3" s="19">
        <v>63</v>
      </c>
      <c r="X3" s="19">
        <v>62</v>
      </c>
      <c r="Y3" s="19">
        <v>63</v>
      </c>
      <c r="Z3" s="19">
        <v>65</v>
      </c>
      <c r="AA3" s="19"/>
      <c r="AB3" s="19"/>
      <c r="AC3" s="19"/>
      <c r="AD3" s="19"/>
      <c r="AE3" s="19"/>
      <c r="AF3" s="19"/>
      <c r="AG3" s="19"/>
      <c r="AH3" s="19"/>
      <c r="AI3" s="19"/>
      <c r="AJ3" s="19"/>
      <c r="AK3" s="19"/>
      <c r="AL3" s="19"/>
      <c r="AM3" s="19"/>
      <c r="AN3" s="19"/>
      <c r="AO3" s="19"/>
      <c r="AP3" s="19"/>
      <c r="AQ3" s="19"/>
      <c r="AR3" s="20"/>
      <c r="AS3" s="14"/>
    </row>
    <row r="4" spans="2:51" x14ac:dyDescent="0.25">
      <c r="B4" s="106" t="s">
        <v>75</v>
      </c>
      <c r="C4" s="18">
        <v>75</v>
      </c>
      <c r="D4" s="19">
        <v>75</v>
      </c>
      <c r="E4" s="19">
        <v>73</v>
      </c>
      <c r="F4" s="19">
        <v>75</v>
      </c>
      <c r="G4" s="19">
        <v>75</v>
      </c>
      <c r="H4" s="19">
        <v>0</v>
      </c>
      <c r="I4" s="19">
        <v>75</v>
      </c>
      <c r="J4" s="19">
        <v>75</v>
      </c>
      <c r="K4" s="19">
        <v>73</v>
      </c>
      <c r="L4" s="19">
        <v>73</v>
      </c>
      <c r="M4" s="19">
        <v>73</v>
      </c>
      <c r="N4" s="19">
        <v>75</v>
      </c>
      <c r="O4" s="19">
        <v>75</v>
      </c>
      <c r="P4" s="19">
        <v>75</v>
      </c>
      <c r="Q4" s="19">
        <v>73</v>
      </c>
      <c r="R4" s="19">
        <v>75</v>
      </c>
      <c r="S4" s="19">
        <v>75</v>
      </c>
      <c r="T4" s="19">
        <v>75</v>
      </c>
      <c r="U4" s="19">
        <v>73</v>
      </c>
      <c r="V4" s="19">
        <v>73</v>
      </c>
      <c r="W4" s="19">
        <v>73</v>
      </c>
      <c r="X4" s="19">
        <v>73</v>
      </c>
      <c r="Y4" s="19">
        <v>73</v>
      </c>
      <c r="Z4" s="19">
        <v>75</v>
      </c>
      <c r="AA4" s="19"/>
      <c r="AB4" s="19"/>
      <c r="AC4" s="19"/>
      <c r="AD4" s="19"/>
      <c r="AE4" s="19"/>
      <c r="AF4" s="19"/>
      <c r="AG4" s="19"/>
      <c r="AH4" s="19"/>
      <c r="AI4" s="19"/>
      <c r="AJ4" s="19"/>
      <c r="AK4" s="19"/>
      <c r="AL4" s="19"/>
      <c r="AM4" s="19"/>
      <c r="AN4" s="19"/>
      <c r="AO4" s="19"/>
      <c r="AP4" s="19"/>
      <c r="AQ4" s="19"/>
      <c r="AR4" s="20"/>
      <c r="AS4" s="14"/>
      <c r="AT4" s="16" t="s">
        <v>7</v>
      </c>
      <c r="AU4" s="16"/>
      <c r="AW4" s="34" t="s">
        <v>172</v>
      </c>
      <c r="AX4" s="34"/>
    </row>
    <row r="5" spans="2:51" x14ac:dyDescent="0.25">
      <c r="B5" s="106" t="s">
        <v>76</v>
      </c>
      <c r="C5" s="18">
        <v>65</v>
      </c>
      <c r="D5" s="19">
        <v>65</v>
      </c>
      <c r="E5" s="19">
        <v>65</v>
      </c>
      <c r="F5" s="19">
        <v>65</v>
      </c>
      <c r="G5" s="19">
        <v>65</v>
      </c>
      <c r="H5" s="19">
        <v>0</v>
      </c>
      <c r="I5" s="19">
        <v>65</v>
      </c>
      <c r="J5" s="19">
        <v>65</v>
      </c>
      <c r="K5" s="19">
        <v>65</v>
      </c>
      <c r="L5" s="19">
        <v>65</v>
      </c>
      <c r="M5" s="19">
        <v>65</v>
      </c>
      <c r="N5" s="19">
        <v>65</v>
      </c>
      <c r="O5" s="19">
        <v>65</v>
      </c>
      <c r="P5" s="19">
        <v>65</v>
      </c>
      <c r="Q5" s="19">
        <v>65</v>
      </c>
      <c r="R5" s="19">
        <v>65</v>
      </c>
      <c r="S5" s="19">
        <v>65</v>
      </c>
      <c r="T5" s="19">
        <v>65</v>
      </c>
      <c r="U5" s="19">
        <v>65</v>
      </c>
      <c r="V5" s="19">
        <v>65</v>
      </c>
      <c r="W5" s="19">
        <v>65</v>
      </c>
      <c r="X5" s="19">
        <v>65</v>
      </c>
      <c r="Y5" s="19">
        <v>65</v>
      </c>
      <c r="Z5" s="19">
        <v>65</v>
      </c>
      <c r="AA5" s="19"/>
      <c r="AB5" s="19"/>
      <c r="AC5" s="19"/>
      <c r="AD5" s="19"/>
      <c r="AE5" s="19"/>
      <c r="AF5" s="19"/>
      <c r="AG5" s="19"/>
      <c r="AH5" s="19"/>
      <c r="AI5" s="19"/>
      <c r="AJ5" s="19"/>
      <c r="AK5" s="19"/>
      <c r="AL5" s="19"/>
      <c r="AM5" s="19"/>
      <c r="AN5" s="19"/>
      <c r="AO5" s="19"/>
      <c r="AP5" s="19"/>
      <c r="AQ5" s="19"/>
      <c r="AR5" s="20"/>
      <c r="AS5" s="14"/>
      <c r="AT5" s="17" t="s">
        <v>2</v>
      </c>
      <c r="AU5" s="17" t="s">
        <v>10</v>
      </c>
      <c r="AW5" s="35" t="s">
        <v>173</v>
      </c>
      <c r="AX5" s="35" t="s">
        <v>174</v>
      </c>
      <c r="AY5" s="35" t="s">
        <v>173</v>
      </c>
    </row>
    <row r="6" spans="2:51" x14ac:dyDescent="0.25">
      <c r="B6" s="106" t="s">
        <v>77</v>
      </c>
      <c r="C6" s="18">
        <v>85</v>
      </c>
      <c r="D6" s="19">
        <v>85</v>
      </c>
      <c r="E6" s="19">
        <v>81</v>
      </c>
      <c r="F6" s="19">
        <v>81</v>
      </c>
      <c r="G6" s="19">
        <v>81</v>
      </c>
      <c r="H6" s="19">
        <v>0</v>
      </c>
      <c r="I6" s="19">
        <v>81</v>
      </c>
      <c r="J6" s="19">
        <v>81</v>
      </c>
      <c r="K6" s="19">
        <v>81</v>
      </c>
      <c r="L6" s="19">
        <v>81</v>
      </c>
      <c r="M6" s="19">
        <v>81</v>
      </c>
      <c r="N6" s="19">
        <v>85</v>
      </c>
      <c r="O6" s="19">
        <v>85</v>
      </c>
      <c r="P6" s="19">
        <v>85</v>
      </c>
      <c r="Q6" s="19">
        <v>81</v>
      </c>
      <c r="R6" s="19">
        <v>85</v>
      </c>
      <c r="S6" s="19">
        <v>85</v>
      </c>
      <c r="T6" s="19">
        <v>85</v>
      </c>
      <c r="U6" s="19">
        <v>81</v>
      </c>
      <c r="V6" s="19">
        <v>81</v>
      </c>
      <c r="W6" s="19">
        <v>81</v>
      </c>
      <c r="X6" s="19">
        <v>81</v>
      </c>
      <c r="Y6" s="19">
        <v>81</v>
      </c>
      <c r="Z6" s="19">
        <v>81</v>
      </c>
      <c r="AA6" s="19"/>
      <c r="AB6" s="19"/>
      <c r="AC6" s="19"/>
      <c r="AD6" s="19"/>
      <c r="AE6" s="19"/>
      <c r="AF6" s="19"/>
      <c r="AG6" s="19"/>
      <c r="AH6" s="19"/>
      <c r="AI6" s="19"/>
      <c r="AJ6" s="19"/>
      <c r="AK6" s="19"/>
      <c r="AL6" s="19"/>
      <c r="AM6" s="19"/>
      <c r="AN6" s="19"/>
      <c r="AO6" s="19"/>
      <c r="AP6" s="19"/>
      <c r="AQ6" s="19"/>
      <c r="AR6" s="20"/>
      <c r="AS6" s="14"/>
      <c r="AT6" s="12" t="s">
        <v>175</v>
      </c>
      <c r="AU6" s="12" t="s">
        <v>16</v>
      </c>
      <c r="AW6" s="35"/>
      <c r="AX6" s="35"/>
      <c r="AY6" s="35"/>
    </row>
    <row r="7" spans="2:51" x14ac:dyDescent="0.25">
      <c r="B7" s="106" t="s">
        <v>20</v>
      </c>
      <c r="C7" s="18">
        <v>75</v>
      </c>
      <c r="D7" s="19">
        <v>75</v>
      </c>
      <c r="E7" s="19">
        <v>75</v>
      </c>
      <c r="F7" s="19">
        <v>75</v>
      </c>
      <c r="G7" s="19">
        <v>75</v>
      </c>
      <c r="H7" s="19">
        <v>0</v>
      </c>
      <c r="I7" s="19">
        <v>75</v>
      </c>
      <c r="J7" s="19">
        <v>75</v>
      </c>
      <c r="K7" s="19">
        <v>75</v>
      </c>
      <c r="L7" s="19">
        <v>75</v>
      </c>
      <c r="M7" s="19">
        <v>75</v>
      </c>
      <c r="N7" s="19">
        <v>75</v>
      </c>
      <c r="O7" s="19">
        <v>75</v>
      </c>
      <c r="P7" s="19">
        <v>80</v>
      </c>
      <c r="Q7" s="19">
        <v>75</v>
      </c>
      <c r="R7" s="19">
        <v>75</v>
      </c>
      <c r="S7" s="19">
        <v>75</v>
      </c>
      <c r="T7" s="19">
        <v>75</v>
      </c>
      <c r="U7" s="19">
        <v>75</v>
      </c>
      <c r="V7" s="19">
        <v>75</v>
      </c>
      <c r="W7" s="19">
        <v>75</v>
      </c>
      <c r="X7" s="19">
        <v>75</v>
      </c>
      <c r="Y7" s="19">
        <v>75</v>
      </c>
      <c r="Z7" s="19">
        <v>81</v>
      </c>
      <c r="AA7" s="19"/>
      <c r="AB7" s="19"/>
      <c r="AC7" s="19"/>
      <c r="AD7" s="19"/>
      <c r="AE7" s="19"/>
      <c r="AF7" s="19"/>
      <c r="AG7" s="19"/>
      <c r="AH7" s="19"/>
      <c r="AI7" s="19"/>
      <c r="AJ7" s="19"/>
      <c r="AK7" s="19"/>
      <c r="AL7" s="19"/>
      <c r="AM7" s="19"/>
      <c r="AN7" s="19"/>
      <c r="AO7" s="19"/>
      <c r="AP7" s="19"/>
      <c r="AQ7" s="19"/>
      <c r="AR7" s="20"/>
      <c r="AS7" s="14"/>
      <c r="AT7" s="12" t="s">
        <v>176</v>
      </c>
      <c r="AU7" s="12" t="s">
        <v>160</v>
      </c>
      <c r="AW7" s="35"/>
      <c r="AX7" s="35"/>
      <c r="AY7" s="35"/>
    </row>
    <row r="8" spans="2:51" x14ac:dyDescent="0.25">
      <c r="B8" s="106" t="s">
        <v>78</v>
      </c>
      <c r="C8" s="18">
        <v>85</v>
      </c>
      <c r="D8" s="19">
        <v>85</v>
      </c>
      <c r="E8" s="19">
        <v>81</v>
      </c>
      <c r="F8" s="19">
        <v>81</v>
      </c>
      <c r="G8" s="19">
        <v>81</v>
      </c>
      <c r="H8" s="19">
        <v>0</v>
      </c>
      <c r="I8" s="19">
        <v>81</v>
      </c>
      <c r="J8" s="19">
        <v>81</v>
      </c>
      <c r="K8" s="19">
        <v>81</v>
      </c>
      <c r="L8" s="19">
        <v>81</v>
      </c>
      <c r="M8" s="19">
        <v>81</v>
      </c>
      <c r="N8" s="19">
        <v>85</v>
      </c>
      <c r="O8" s="19">
        <v>85</v>
      </c>
      <c r="P8" s="19">
        <v>85</v>
      </c>
      <c r="Q8" s="19">
        <v>81</v>
      </c>
      <c r="R8" s="19">
        <v>85</v>
      </c>
      <c r="S8" s="19">
        <v>85</v>
      </c>
      <c r="T8" s="19">
        <v>85</v>
      </c>
      <c r="U8" s="19">
        <v>81</v>
      </c>
      <c r="V8" s="19">
        <v>81</v>
      </c>
      <c r="W8" s="19">
        <v>81</v>
      </c>
      <c r="X8" s="19">
        <v>81</v>
      </c>
      <c r="Y8" s="19">
        <v>81</v>
      </c>
      <c r="Z8" s="19">
        <v>81</v>
      </c>
      <c r="AA8" s="19"/>
      <c r="AB8" s="19"/>
      <c r="AC8" s="19"/>
      <c r="AD8" s="19"/>
      <c r="AE8" s="19"/>
      <c r="AF8" s="19"/>
      <c r="AG8" s="19"/>
      <c r="AH8" s="19"/>
      <c r="AI8" s="19"/>
      <c r="AJ8" s="19"/>
      <c r="AK8" s="19"/>
      <c r="AL8" s="19"/>
      <c r="AM8" s="19"/>
      <c r="AN8" s="19"/>
      <c r="AO8" s="19"/>
      <c r="AP8" s="19"/>
      <c r="AQ8" s="19"/>
      <c r="AR8" s="20"/>
      <c r="AS8" s="14"/>
      <c r="AT8" s="12" t="s">
        <v>177</v>
      </c>
      <c r="AU8" s="12" t="s">
        <v>60</v>
      </c>
      <c r="AW8" s="35"/>
      <c r="AX8" s="35"/>
      <c r="AY8" s="35"/>
    </row>
    <row r="9" spans="2:51" x14ac:dyDescent="0.25">
      <c r="B9" s="106" t="s">
        <v>57</v>
      </c>
      <c r="C9" s="18">
        <v>85</v>
      </c>
      <c r="D9" s="19">
        <v>85</v>
      </c>
      <c r="E9" s="19">
        <v>81</v>
      </c>
      <c r="F9" s="19">
        <v>81</v>
      </c>
      <c r="G9" s="19">
        <v>81</v>
      </c>
      <c r="H9" s="19">
        <v>0</v>
      </c>
      <c r="I9" s="19">
        <v>81</v>
      </c>
      <c r="J9" s="19">
        <v>81</v>
      </c>
      <c r="K9" s="19">
        <v>81</v>
      </c>
      <c r="L9" s="19">
        <v>81</v>
      </c>
      <c r="M9" s="19">
        <v>81</v>
      </c>
      <c r="N9" s="19">
        <v>85</v>
      </c>
      <c r="O9" s="19">
        <v>85</v>
      </c>
      <c r="P9" s="19">
        <v>85</v>
      </c>
      <c r="Q9" s="19">
        <v>81</v>
      </c>
      <c r="R9" s="19">
        <v>85</v>
      </c>
      <c r="S9" s="19">
        <v>85</v>
      </c>
      <c r="T9" s="19">
        <v>85</v>
      </c>
      <c r="U9" s="19">
        <v>81</v>
      </c>
      <c r="V9" s="19">
        <v>81</v>
      </c>
      <c r="W9" s="19">
        <v>81</v>
      </c>
      <c r="X9" s="19">
        <v>81</v>
      </c>
      <c r="Y9" s="19">
        <v>81</v>
      </c>
      <c r="Z9" s="19">
        <v>81</v>
      </c>
      <c r="AA9" s="19"/>
      <c r="AB9" s="19"/>
      <c r="AC9" s="19"/>
      <c r="AD9" s="19"/>
      <c r="AE9" s="19"/>
      <c r="AF9" s="19"/>
      <c r="AG9" s="19"/>
      <c r="AH9" s="19"/>
      <c r="AI9" s="19"/>
      <c r="AJ9" s="19"/>
      <c r="AK9" s="19"/>
      <c r="AL9" s="19"/>
      <c r="AM9" s="19"/>
      <c r="AN9" s="19"/>
      <c r="AO9" s="19"/>
      <c r="AP9" s="19"/>
      <c r="AQ9" s="19"/>
      <c r="AR9" s="20"/>
      <c r="AS9" s="14"/>
      <c r="AT9" s="12" t="s">
        <v>178</v>
      </c>
      <c r="AU9" s="12" t="s">
        <v>161</v>
      </c>
      <c r="AW9" s="35"/>
      <c r="AX9" s="35"/>
      <c r="AY9" s="35"/>
    </row>
    <row r="10" spans="2:51" x14ac:dyDescent="0.25">
      <c r="B10" s="106" t="s">
        <v>79</v>
      </c>
      <c r="C10" s="18">
        <v>80</v>
      </c>
      <c r="D10" s="19">
        <v>80</v>
      </c>
      <c r="E10" s="19">
        <v>80</v>
      </c>
      <c r="F10" s="19">
        <v>80</v>
      </c>
      <c r="G10" s="19">
        <v>80</v>
      </c>
      <c r="H10" s="19">
        <v>0</v>
      </c>
      <c r="I10" s="19">
        <v>80</v>
      </c>
      <c r="J10" s="19">
        <v>80</v>
      </c>
      <c r="K10" s="19">
        <v>80</v>
      </c>
      <c r="L10" s="19">
        <v>80</v>
      </c>
      <c r="M10" s="19">
        <v>80</v>
      </c>
      <c r="N10" s="19">
        <v>80</v>
      </c>
      <c r="O10" s="19">
        <v>80</v>
      </c>
      <c r="P10" s="19">
        <v>80</v>
      </c>
      <c r="Q10" s="19">
        <v>80</v>
      </c>
      <c r="R10" s="19">
        <v>80</v>
      </c>
      <c r="S10" s="19">
        <v>80</v>
      </c>
      <c r="T10" s="19">
        <v>80</v>
      </c>
      <c r="U10" s="19">
        <v>80</v>
      </c>
      <c r="V10" s="19">
        <v>80</v>
      </c>
      <c r="W10" s="19">
        <v>80</v>
      </c>
      <c r="X10" s="19">
        <v>80</v>
      </c>
      <c r="Y10" s="19">
        <v>80</v>
      </c>
      <c r="Z10" s="19">
        <v>80</v>
      </c>
      <c r="AA10" s="19"/>
      <c r="AB10" s="19"/>
      <c r="AC10" s="19"/>
      <c r="AD10" s="19"/>
      <c r="AE10" s="19"/>
      <c r="AF10" s="19"/>
      <c r="AG10" s="19"/>
      <c r="AH10" s="19"/>
      <c r="AI10" s="19"/>
      <c r="AJ10" s="19"/>
      <c r="AK10" s="19"/>
      <c r="AL10" s="19"/>
      <c r="AM10" s="19"/>
      <c r="AN10" s="19"/>
      <c r="AO10" s="19"/>
      <c r="AP10" s="19"/>
      <c r="AQ10" s="19"/>
      <c r="AR10" s="20"/>
      <c r="AS10" s="14"/>
      <c r="AT10" s="12" t="s">
        <v>179</v>
      </c>
      <c r="AU10" s="12" t="s">
        <v>162</v>
      </c>
      <c r="AW10" s="35"/>
      <c r="AX10" s="35"/>
      <c r="AY10" s="35"/>
    </row>
    <row r="11" spans="2:51" x14ac:dyDescent="0.25">
      <c r="B11" s="106" t="s">
        <v>80</v>
      </c>
      <c r="C11" s="18">
        <v>85</v>
      </c>
      <c r="D11" s="19">
        <v>85</v>
      </c>
      <c r="E11" s="19">
        <v>81</v>
      </c>
      <c r="F11" s="19">
        <v>81</v>
      </c>
      <c r="G11" s="19">
        <v>81</v>
      </c>
      <c r="H11" s="19">
        <v>0</v>
      </c>
      <c r="I11" s="19">
        <v>81</v>
      </c>
      <c r="J11" s="19">
        <v>81</v>
      </c>
      <c r="K11" s="19">
        <v>81</v>
      </c>
      <c r="L11" s="19">
        <v>81</v>
      </c>
      <c r="M11" s="19">
        <v>81</v>
      </c>
      <c r="N11" s="19">
        <v>85</v>
      </c>
      <c r="O11" s="19">
        <v>85</v>
      </c>
      <c r="P11" s="19">
        <v>85</v>
      </c>
      <c r="Q11" s="19">
        <v>81</v>
      </c>
      <c r="R11" s="19">
        <v>85</v>
      </c>
      <c r="S11" s="19">
        <v>85</v>
      </c>
      <c r="T11" s="19">
        <v>85</v>
      </c>
      <c r="U11" s="19">
        <v>81</v>
      </c>
      <c r="V11" s="19">
        <v>81</v>
      </c>
      <c r="W11" s="19">
        <v>81</v>
      </c>
      <c r="X11" s="19">
        <v>81</v>
      </c>
      <c r="Y11" s="19">
        <v>81</v>
      </c>
      <c r="Z11" s="19">
        <v>80</v>
      </c>
      <c r="AA11" s="19"/>
      <c r="AB11" s="19"/>
      <c r="AC11" s="19"/>
      <c r="AD11" s="19"/>
      <c r="AE11" s="19"/>
      <c r="AF11" s="19"/>
      <c r="AG11" s="19"/>
      <c r="AH11" s="19"/>
      <c r="AI11" s="19"/>
      <c r="AJ11" s="19"/>
      <c r="AK11" s="19"/>
      <c r="AL11" s="19"/>
      <c r="AM11" s="19"/>
      <c r="AN11" s="19"/>
      <c r="AO11" s="19"/>
      <c r="AP11" s="19"/>
      <c r="AQ11" s="19"/>
      <c r="AR11" s="20"/>
      <c r="AS11" s="14"/>
      <c r="AT11" s="12" t="s">
        <v>180</v>
      </c>
      <c r="AU11" s="12" t="s">
        <v>41</v>
      </c>
      <c r="AW11" s="35"/>
      <c r="AX11" s="35"/>
      <c r="AY11" s="35"/>
    </row>
    <row r="12" spans="2:51" x14ac:dyDescent="0.25">
      <c r="B12" s="106" t="s">
        <v>81</v>
      </c>
      <c r="C12" s="18">
        <v>80</v>
      </c>
      <c r="D12" s="19">
        <v>80</v>
      </c>
      <c r="E12" s="19">
        <v>78</v>
      </c>
      <c r="F12" s="19">
        <v>78</v>
      </c>
      <c r="G12" s="19">
        <v>78</v>
      </c>
      <c r="H12" s="19">
        <v>0</v>
      </c>
      <c r="I12" s="19">
        <v>78</v>
      </c>
      <c r="J12" s="19">
        <v>78</v>
      </c>
      <c r="K12" s="19">
        <v>78</v>
      </c>
      <c r="L12" s="19">
        <v>78</v>
      </c>
      <c r="M12" s="19">
        <v>78</v>
      </c>
      <c r="N12" s="19">
        <v>80</v>
      </c>
      <c r="O12" s="19">
        <v>80</v>
      </c>
      <c r="P12" s="19">
        <v>80</v>
      </c>
      <c r="Q12" s="19">
        <v>78</v>
      </c>
      <c r="R12" s="19">
        <v>80</v>
      </c>
      <c r="S12" s="19">
        <v>80</v>
      </c>
      <c r="T12" s="19">
        <v>80</v>
      </c>
      <c r="U12" s="19">
        <v>78</v>
      </c>
      <c r="V12" s="19">
        <v>78</v>
      </c>
      <c r="W12" s="19">
        <v>78</v>
      </c>
      <c r="X12" s="19">
        <v>78</v>
      </c>
      <c r="Y12" s="19">
        <v>78</v>
      </c>
      <c r="Z12" s="19">
        <v>80</v>
      </c>
      <c r="AA12" s="19"/>
      <c r="AB12" s="19"/>
      <c r="AC12" s="19"/>
      <c r="AD12" s="19"/>
      <c r="AE12" s="19"/>
      <c r="AF12" s="19"/>
      <c r="AG12" s="19"/>
      <c r="AH12" s="19"/>
      <c r="AI12" s="19"/>
      <c r="AJ12" s="19"/>
      <c r="AK12" s="19"/>
      <c r="AL12" s="19"/>
      <c r="AM12" s="19"/>
      <c r="AN12" s="19"/>
      <c r="AO12" s="19"/>
      <c r="AP12" s="19"/>
      <c r="AQ12" s="19"/>
      <c r="AR12" s="20"/>
      <c r="AS12" s="14"/>
      <c r="AT12" s="12" t="s">
        <v>181</v>
      </c>
      <c r="AU12" s="12" t="s">
        <v>47</v>
      </c>
      <c r="AW12" s="35"/>
      <c r="AX12" s="35"/>
      <c r="AY12" s="35"/>
    </row>
    <row r="13" spans="2:51" x14ac:dyDescent="0.25">
      <c r="B13" s="106" t="s">
        <v>82</v>
      </c>
      <c r="C13" s="18">
        <v>85</v>
      </c>
      <c r="D13" s="19">
        <v>85</v>
      </c>
      <c r="E13" s="19">
        <v>83</v>
      </c>
      <c r="F13" s="19">
        <v>83</v>
      </c>
      <c r="G13" s="19">
        <v>83</v>
      </c>
      <c r="H13" s="19">
        <v>0</v>
      </c>
      <c r="I13" s="19">
        <v>83</v>
      </c>
      <c r="J13" s="19">
        <v>83</v>
      </c>
      <c r="K13" s="19">
        <v>83</v>
      </c>
      <c r="L13" s="19">
        <v>83</v>
      </c>
      <c r="M13" s="19">
        <v>83</v>
      </c>
      <c r="N13" s="19">
        <v>85</v>
      </c>
      <c r="O13" s="19">
        <v>85</v>
      </c>
      <c r="P13" s="19">
        <v>85</v>
      </c>
      <c r="Q13" s="19">
        <v>83</v>
      </c>
      <c r="R13" s="19">
        <v>85</v>
      </c>
      <c r="S13" s="19">
        <v>85</v>
      </c>
      <c r="T13" s="19">
        <v>85</v>
      </c>
      <c r="U13" s="19">
        <v>83</v>
      </c>
      <c r="V13" s="19">
        <v>83</v>
      </c>
      <c r="W13" s="19">
        <v>83</v>
      </c>
      <c r="X13" s="19">
        <v>83</v>
      </c>
      <c r="Y13" s="19">
        <v>83</v>
      </c>
      <c r="Z13" s="19">
        <v>85</v>
      </c>
      <c r="AA13" s="19"/>
      <c r="AB13" s="19"/>
      <c r="AC13" s="19"/>
      <c r="AD13" s="19"/>
      <c r="AE13" s="19"/>
      <c r="AF13" s="19"/>
      <c r="AG13" s="19"/>
      <c r="AH13" s="19"/>
      <c r="AI13" s="19"/>
      <c r="AJ13" s="19"/>
      <c r="AK13" s="19"/>
      <c r="AL13" s="19"/>
      <c r="AM13" s="19"/>
      <c r="AN13" s="19"/>
      <c r="AO13" s="19"/>
      <c r="AP13" s="19"/>
      <c r="AQ13" s="19"/>
      <c r="AR13" s="20"/>
      <c r="AS13" s="14"/>
      <c r="AT13" s="12" t="s">
        <v>182</v>
      </c>
      <c r="AU13" s="12" t="s">
        <v>3</v>
      </c>
      <c r="AW13" s="36">
        <f>'Nota Transaksi'!$C$6</f>
        <v>0</v>
      </c>
      <c r="AX13" s="36">
        <f>'Nota Transaksi'!C7</f>
        <v>0</v>
      </c>
      <c r="AY13" s="37">
        <f>'Nota Transaksi'!$F$7</f>
        <v>0</v>
      </c>
    </row>
    <row r="14" spans="2:51" x14ac:dyDescent="0.25">
      <c r="B14" s="106" t="s">
        <v>83</v>
      </c>
      <c r="C14" s="18">
        <v>85</v>
      </c>
      <c r="D14" s="19">
        <v>85</v>
      </c>
      <c r="E14" s="19">
        <v>83</v>
      </c>
      <c r="F14" s="19">
        <v>83</v>
      </c>
      <c r="G14" s="19">
        <v>83</v>
      </c>
      <c r="H14" s="19">
        <v>0</v>
      </c>
      <c r="I14" s="19">
        <v>83</v>
      </c>
      <c r="J14" s="19">
        <v>83</v>
      </c>
      <c r="K14" s="19">
        <v>83</v>
      </c>
      <c r="L14" s="19">
        <v>83</v>
      </c>
      <c r="M14" s="19">
        <v>83</v>
      </c>
      <c r="N14" s="19">
        <v>85</v>
      </c>
      <c r="O14" s="19">
        <v>85</v>
      </c>
      <c r="P14" s="19">
        <v>85</v>
      </c>
      <c r="Q14" s="19">
        <v>83</v>
      </c>
      <c r="R14" s="19">
        <v>85</v>
      </c>
      <c r="S14" s="19">
        <v>85</v>
      </c>
      <c r="T14" s="19">
        <v>85</v>
      </c>
      <c r="U14" s="19">
        <v>83</v>
      </c>
      <c r="V14" s="19">
        <v>83</v>
      </c>
      <c r="W14" s="19">
        <v>83</v>
      </c>
      <c r="X14" s="19">
        <v>83</v>
      </c>
      <c r="Y14" s="19">
        <v>83</v>
      </c>
      <c r="Z14" s="19">
        <v>85</v>
      </c>
      <c r="AA14" s="19"/>
      <c r="AB14" s="19"/>
      <c r="AC14" s="19"/>
      <c r="AD14" s="19"/>
      <c r="AE14" s="19"/>
      <c r="AF14" s="19"/>
      <c r="AG14" s="19"/>
      <c r="AH14" s="19"/>
      <c r="AI14" s="19"/>
      <c r="AJ14" s="19"/>
      <c r="AK14" s="19"/>
      <c r="AL14" s="19"/>
      <c r="AM14" s="19"/>
      <c r="AN14" s="19"/>
      <c r="AO14" s="19"/>
      <c r="AP14" s="19"/>
      <c r="AQ14" s="19"/>
      <c r="AR14" s="20"/>
      <c r="AS14" s="14"/>
      <c r="AT14" s="12" t="s">
        <v>183</v>
      </c>
      <c r="AU14" s="12" t="s">
        <v>164</v>
      </c>
      <c r="AW14" s="33" t="str" cm="1">
        <f t="array" ref="AW14:AW2208">_xlfn._xlws.SORT(_xlfn._xlws.FILTER($AU$13:$AU$207,ISNUMBER(SEARCH($AW$13,$AU$13:$AU$207)),$AU$13:$AU$2207))</f>
        <v>AHL</v>
      </c>
      <c r="AX14" s="33" t="str" cm="1">
        <f t="array" ref="AX14:AX16">_xlfn._xlws.SORT(_xlfn._xlws.FILTER($B$3:$B$122,ISNUMBER(SEARCH(AX13,$B$3:$B$122)),B3:B122))</f>
        <v>HM PRO 20</v>
      </c>
      <c r="AY14" s="33" t="str" cm="1">
        <f t="array" ref="AY14:AY208">_xlfn._xlws.SORT(_xlfn._xlws.FILTER($AT$13:$AT$207,ISNUMBER(SEARCH($AY$13,$AT$13:$AT$207)),$AT$13:$AT$207))</f>
        <v>ADEK HILMIA</v>
      </c>
    </row>
    <row r="15" spans="2:51" x14ac:dyDescent="0.25">
      <c r="B15" s="106" t="s">
        <v>84</v>
      </c>
      <c r="C15" s="18">
        <v>80</v>
      </c>
      <c r="D15" s="19">
        <v>80</v>
      </c>
      <c r="E15" s="19">
        <v>80</v>
      </c>
      <c r="F15" s="19">
        <v>80</v>
      </c>
      <c r="G15" s="19">
        <v>80</v>
      </c>
      <c r="H15" s="19">
        <v>0</v>
      </c>
      <c r="I15" s="19">
        <v>80</v>
      </c>
      <c r="J15" s="19">
        <v>80</v>
      </c>
      <c r="K15" s="19">
        <v>80</v>
      </c>
      <c r="L15" s="19">
        <v>80</v>
      </c>
      <c r="M15" s="19">
        <v>80</v>
      </c>
      <c r="N15" s="19">
        <v>80</v>
      </c>
      <c r="O15" s="19">
        <v>80</v>
      </c>
      <c r="P15" s="19">
        <v>80</v>
      </c>
      <c r="Q15" s="19">
        <v>80</v>
      </c>
      <c r="R15" s="19">
        <v>80</v>
      </c>
      <c r="S15" s="19">
        <v>80</v>
      </c>
      <c r="T15" s="19">
        <v>80</v>
      </c>
      <c r="U15" s="19">
        <v>80</v>
      </c>
      <c r="V15" s="19">
        <v>80</v>
      </c>
      <c r="W15" s="19">
        <v>80</v>
      </c>
      <c r="X15" s="19">
        <v>80</v>
      </c>
      <c r="Y15" s="19">
        <v>80</v>
      </c>
      <c r="Z15" s="19">
        <v>80</v>
      </c>
      <c r="AA15" s="19"/>
      <c r="AB15" s="19"/>
      <c r="AC15" s="19"/>
      <c r="AD15" s="19"/>
      <c r="AE15" s="19"/>
      <c r="AF15" s="19"/>
      <c r="AG15" s="19"/>
      <c r="AH15" s="19"/>
      <c r="AI15" s="19"/>
      <c r="AJ15" s="19"/>
      <c r="AK15" s="19"/>
      <c r="AL15" s="19"/>
      <c r="AM15" s="19"/>
      <c r="AN15" s="19"/>
      <c r="AO15" s="19"/>
      <c r="AP15" s="19"/>
      <c r="AQ15" s="19"/>
      <c r="AR15" s="20"/>
      <c r="AS15" s="14"/>
      <c r="AT15" s="12" t="s">
        <v>184</v>
      </c>
      <c r="AU15" s="12" t="s">
        <v>42</v>
      </c>
      <c r="AW15" s="33" t="str">
        <v>AMB</v>
      </c>
      <c r="AX15" s="33" t="str">
        <v>MD 20</v>
      </c>
      <c r="AY15" t="str">
        <v xml:space="preserve">AMBON </v>
      </c>
    </row>
    <row r="16" spans="2:51" x14ac:dyDescent="0.25">
      <c r="B16" s="106" t="s">
        <v>85</v>
      </c>
      <c r="C16" s="18">
        <v>75</v>
      </c>
      <c r="D16" s="19">
        <v>75</v>
      </c>
      <c r="E16" s="19">
        <v>75</v>
      </c>
      <c r="F16" s="19">
        <v>75</v>
      </c>
      <c r="G16" s="19">
        <v>75</v>
      </c>
      <c r="H16" s="19">
        <v>75</v>
      </c>
      <c r="I16" s="19">
        <v>75</v>
      </c>
      <c r="J16" s="19">
        <v>75</v>
      </c>
      <c r="K16" s="19">
        <v>75</v>
      </c>
      <c r="L16" s="19">
        <v>75</v>
      </c>
      <c r="M16" s="19">
        <v>75</v>
      </c>
      <c r="N16" s="19">
        <v>75</v>
      </c>
      <c r="O16" s="19">
        <v>75</v>
      </c>
      <c r="P16" s="19">
        <v>80</v>
      </c>
      <c r="Q16" s="19">
        <v>75</v>
      </c>
      <c r="R16" s="19">
        <v>75</v>
      </c>
      <c r="S16" s="19">
        <v>75</v>
      </c>
      <c r="T16" s="19">
        <v>75</v>
      </c>
      <c r="U16" s="19">
        <v>75</v>
      </c>
      <c r="V16" s="19">
        <v>75</v>
      </c>
      <c r="W16" s="19">
        <v>75</v>
      </c>
      <c r="X16" s="19">
        <v>75</v>
      </c>
      <c r="Y16" s="19">
        <v>75</v>
      </c>
      <c r="Z16" s="19">
        <v>75</v>
      </c>
      <c r="AA16" s="19"/>
      <c r="AB16" s="19"/>
      <c r="AC16" s="19"/>
      <c r="AD16" s="19"/>
      <c r="AE16" s="19"/>
      <c r="AF16" s="19"/>
      <c r="AG16" s="19"/>
      <c r="AH16" s="19"/>
      <c r="AI16" s="19"/>
      <c r="AJ16" s="19"/>
      <c r="AK16" s="19"/>
      <c r="AL16" s="19"/>
      <c r="AM16" s="19"/>
      <c r="AN16" s="19"/>
      <c r="AO16" s="19"/>
      <c r="AP16" s="19"/>
      <c r="AQ16" s="19"/>
      <c r="AR16" s="20"/>
      <c r="AS16" s="14"/>
      <c r="AT16" s="12" t="s">
        <v>185</v>
      </c>
      <c r="AU16" s="12" t="s">
        <v>46</v>
      </c>
      <c r="AW16" s="33" t="str">
        <v>AZM</v>
      </c>
      <c r="AX16" s="33" t="str">
        <v>NC BLUE 20</v>
      </c>
      <c r="AY16" t="str">
        <v>AZMI</v>
      </c>
    </row>
    <row r="17" spans="2:51" x14ac:dyDescent="0.25">
      <c r="B17" s="106" t="s">
        <v>86</v>
      </c>
      <c r="C17" s="18">
        <v>80</v>
      </c>
      <c r="D17" s="19">
        <v>80</v>
      </c>
      <c r="E17" s="19">
        <v>80</v>
      </c>
      <c r="F17" s="19">
        <v>80</v>
      </c>
      <c r="G17" s="19">
        <v>80</v>
      </c>
      <c r="H17" s="19">
        <v>0</v>
      </c>
      <c r="I17" s="19">
        <v>80</v>
      </c>
      <c r="J17" s="19">
        <v>80</v>
      </c>
      <c r="K17" s="19">
        <v>80</v>
      </c>
      <c r="L17" s="19">
        <v>80</v>
      </c>
      <c r="M17" s="19">
        <v>80</v>
      </c>
      <c r="N17" s="19">
        <v>80</v>
      </c>
      <c r="O17" s="19">
        <v>80</v>
      </c>
      <c r="P17" s="19">
        <v>80</v>
      </c>
      <c r="Q17" s="19">
        <v>80</v>
      </c>
      <c r="R17" s="19">
        <v>80</v>
      </c>
      <c r="S17" s="19">
        <v>80</v>
      </c>
      <c r="T17" s="19">
        <v>80</v>
      </c>
      <c r="U17" s="19">
        <v>80</v>
      </c>
      <c r="V17" s="19">
        <v>80</v>
      </c>
      <c r="W17" s="19">
        <v>80</v>
      </c>
      <c r="X17" s="19">
        <v>80</v>
      </c>
      <c r="Y17" s="19">
        <v>80</v>
      </c>
      <c r="Z17" s="19">
        <v>80</v>
      </c>
      <c r="AA17" s="19"/>
      <c r="AB17" s="19"/>
      <c r="AC17" s="19"/>
      <c r="AD17" s="19"/>
      <c r="AE17" s="19"/>
      <c r="AF17" s="19"/>
      <c r="AG17" s="19"/>
      <c r="AH17" s="19"/>
      <c r="AI17" s="19"/>
      <c r="AJ17" s="19"/>
      <c r="AK17" s="19"/>
      <c r="AL17" s="19"/>
      <c r="AM17" s="19"/>
      <c r="AN17" s="19"/>
      <c r="AO17" s="19"/>
      <c r="AP17" s="19"/>
      <c r="AQ17" s="19"/>
      <c r="AR17" s="20"/>
      <c r="AS17" s="14"/>
      <c r="AT17" s="12" t="s">
        <v>186</v>
      </c>
      <c r="AU17" s="12" t="s">
        <v>165</v>
      </c>
      <c r="AW17" s="33" t="str">
        <v>CSM</v>
      </c>
      <c r="AY17" t="str">
        <v>CHAN SMOKE</v>
      </c>
    </row>
    <row r="18" spans="2:51" x14ac:dyDescent="0.25">
      <c r="B18" s="106" t="s">
        <v>87</v>
      </c>
      <c r="C18" s="18">
        <v>80</v>
      </c>
      <c r="D18" s="19">
        <v>80</v>
      </c>
      <c r="E18" s="19">
        <v>80</v>
      </c>
      <c r="F18" s="19">
        <v>80</v>
      </c>
      <c r="G18" s="19">
        <v>80</v>
      </c>
      <c r="H18" s="19">
        <v>0</v>
      </c>
      <c r="I18" s="19">
        <v>80</v>
      </c>
      <c r="J18" s="19">
        <v>80</v>
      </c>
      <c r="K18" s="19">
        <v>80</v>
      </c>
      <c r="L18" s="19">
        <v>80</v>
      </c>
      <c r="M18" s="19">
        <v>80</v>
      </c>
      <c r="N18" s="19">
        <v>80</v>
      </c>
      <c r="O18" s="19">
        <v>80</v>
      </c>
      <c r="P18" s="19">
        <v>80</v>
      </c>
      <c r="Q18" s="19">
        <v>80</v>
      </c>
      <c r="R18" s="19">
        <v>80</v>
      </c>
      <c r="S18" s="19">
        <v>80</v>
      </c>
      <c r="T18" s="19">
        <v>80</v>
      </c>
      <c r="U18" s="19">
        <v>80</v>
      </c>
      <c r="V18" s="19">
        <v>80</v>
      </c>
      <c r="W18" s="19">
        <v>80</v>
      </c>
      <c r="X18" s="19">
        <v>80</v>
      </c>
      <c r="Y18" s="19">
        <v>80</v>
      </c>
      <c r="Z18" s="19">
        <v>80</v>
      </c>
      <c r="AA18" s="19"/>
      <c r="AB18" s="19"/>
      <c r="AC18" s="19"/>
      <c r="AD18" s="19"/>
      <c r="AE18" s="19"/>
      <c r="AF18" s="19"/>
      <c r="AG18" s="19"/>
      <c r="AH18" s="19"/>
      <c r="AI18" s="19"/>
      <c r="AJ18" s="19"/>
      <c r="AK18" s="19"/>
      <c r="AL18" s="19"/>
      <c r="AM18" s="19"/>
      <c r="AN18" s="19"/>
      <c r="AO18" s="19"/>
      <c r="AP18" s="19"/>
      <c r="AQ18" s="19"/>
      <c r="AR18" s="20"/>
      <c r="AS18" s="14"/>
      <c r="AT18" s="12" t="s">
        <v>187</v>
      </c>
      <c r="AU18" s="12" t="s">
        <v>40</v>
      </c>
      <c r="AW18" s="33" t="str">
        <v>GRS</v>
      </c>
      <c r="AY18" t="str">
        <v xml:space="preserve">GERSIK </v>
      </c>
    </row>
    <row r="19" spans="2:51" x14ac:dyDescent="0.25">
      <c r="B19" s="106" t="s">
        <v>88</v>
      </c>
      <c r="C19" s="18">
        <v>80</v>
      </c>
      <c r="D19" s="19">
        <v>80</v>
      </c>
      <c r="E19" s="19">
        <v>80</v>
      </c>
      <c r="F19" s="19">
        <v>80</v>
      </c>
      <c r="G19" s="19">
        <v>80</v>
      </c>
      <c r="H19" s="19">
        <v>0</v>
      </c>
      <c r="I19" s="19">
        <v>80</v>
      </c>
      <c r="J19" s="19">
        <v>80</v>
      </c>
      <c r="K19" s="19">
        <v>80</v>
      </c>
      <c r="L19" s="19">
        <v>80</v>
      </c>
      <c r="M19" s="19">
        <v>80</v>
      </c>
      <c r="N19" s="19">
        <v>80</v>
      </c>
      <c r="O19" s="19">
        <v>80</v>
      </c>
      <c r="P19" s="19">
        <v>80</v>
      </c>
      <c r="Q19" s="19">
        <v>80</v>
      </c>
      <c r="R19" s="19">
        <v>80</v>
      </c>
      <c r="S19" s="19">
        <v>80</v>
      </c>
      <c r="T19" s="19">
        <v>80</v>
      </c>
      <c r="U19" s="19">
        <v>80</v>
      </c>
      <c r="V19" s="19">
        <v>80</v>
      </c>
      <c r="W19" s="19">
        <v>80</v>
      </c>
      <c r="X19" s="19">
        <v>80</v>
      </c>
      <c r="Y19" s="19">
        <v>80</v>
      </c>
      <c r="Z19" s="19">
        <v>80</v>
      </c>
      <c r="AA19" s="19"/>
      <c r="AB19" s="19"/>
      <c r="AC19" s="19"/>
      <c r="AD19" s="19"/>
      <c r="AE19" s="19"/>
      <c r="AF19" s="19"/>
      <c r="AG19" s="19"/>
      <c r="AH19" s="19"/>
      <c r="AI19" s="19"/>
      <c r="AJ19" s="19"/>
      <c r="AK19" s="19"/>
      <c r="AL19" s="19"/>
      <c r="AM19" s="19"/>
      <c r="AN19" s="19"/>
      <c r="AO19" s="19"/>
      <c r="AP19" s="19"/>
      <c r="AQ19" s="19"/>
      <c r="AR19" s="20"/>
      <c r="AS19" s="14"/>
      <c r="AT19" s="12" t="s">
        <v>188</v>
      </c>
      <c r="AU19" s="12" t="s">
        <v>166</v>
      </c>
      <c r="AW19" s="33" t="str">
        <v>LKM</v>
      </c>
      <c r="AY19" t="str">
        <v xml:space="preserve">LUKMAN </v>
      </c>
    </row>
    <row r="20" spans="2:51" x14ac:dyDescent="0.25">
      <c r="B20" s="106" t="s">
        <v>89</v>
      </c>
      <c r="C20" s="18">
        <v>100</v>
      </c>
      <c r="D20" s="19">
        <v>100</v>
      </c>
      <c r="E20" s="19">
        <v>95</v>
      </c>
      <c r="F20" s="19">
        <v>95</v>
      </c>
      <c r="G20" s="19">
        <v>95</v>
      </c>
      <c r="H20" s="19">
        <v>0</v>
      </c>
      <c r="I20" s="19">
        <v>95</v>
      </c>
      <c r="J20" s="19">
        <v>95</v>
      </c>
      <c r="K20" s="19">
        <v>95</v>
      </c>
      <c r="L20" s="19">
        <v>95</v>
      </c>
      <c r="M20" s="19">
        <v>95</v>
      </c>
      <c r="N20" s="19">
        <v>100</v>
      </c>
      <c r="O20" s="19">
        <v>100</v>
      </c>
      <c r="P20" s="19">
        <v>100</v>
      </c>
      <c r="Q20" s="19">
        <v>95</v>
      </c>
      <c r="R20" s="19">
        <v>100</v>
      </c>
      <c r="S20" s="19">
        <v>100</v>
      </c>
      <c r="T20" s="19">
        <v>100</v>
      </c>
      <c r="U20" s="19">
        <v>95</v>
      </c>
      <c r="V20" s="19">
        <v>95</v>
      </c>
      <c r="W20" s="19">
        <v>95</v>
      </c>
      <c r="X20" s="19">
        <v>95</v>
      </c>
      <c r="Y20" s="19">
        <v>95</v>
      </c>
      <c r="Z20" s="19">
        <v>95</v>
      </c>
      <c r="AA20" s="19"/>
      <c r="AB20" s="19"/>
      <c r="AC20" s="19"/>
      <c r="AD20" s="19"/>
      <c r="AE20" s="19"/>
      <c r="AF20" s="19"/>
      <c r="AG20" s="19"/>
      <c r="AH20" s="19"/>
      <c r="AI20" s="19"/>
      <c r="AJ20" s="19"/>
      <c r="AK20" s="19"/>
      <c r="AL20" s="19"/>
      <c r="AM20" s="19"/>
      <c r="AN20" s="19"/>
      <c r="AO20" s="19"/>
      <c r="AP20" s="19"/>
      <c r="AQ20" s="19"/>
      <c r="AR20" s="20"/>
      <c r="AS20" s="14"/>
      <c r="AT20" s="12" t="s">
        <v>189</v>
      </c>
      <c r="AU20" s="12" t="s">
        <v>167</v>
      </c>
      <c r="AW20" s="33" t="str">
        <v>MJI</v>
      </c>
      <c r="AY20" t="str">
        <v>MUJI</v>
      </c>
    </row>
    <row r="21" spans="2:51" x14ac:dyDescent="0.25">
      <c r="B21" s="106" t="s">
        <v>90</v>
      </c>
      <c r="C21" s="18">
        <v>100</v>
      </c>
      <c r="D21" s="19">
        <v>100</v>
      </c>
      <c r="E21" s="19">
        <v>95</v>
      </c>
      <c r="F21" s="19">
        <v>95</v>
      </c>
      <c r="G21" s="19">
        <v>95</v>
      </c>
      <c r="H21" s="19">
        <v>0</v>
      </c>
      <c r="I21" s="19">
        <v>95</v>
      </c>
      <c r="J21" s="19">
        <v>95</v>
      </c>
      <c r="K21" s="19">
        <v>95</v>
      </c>
      <c r="L21" s="19">
        <v>95</v>
      </c>
      <c r="M21" s="19">
        <v>95</v>
      </c>
      <c r="N21" s="19">
        <v>100</v>
      </c>
      <c r="O21" s="19">
        <v>100</v>
      </c>
      <c r="P21" s="19">
        <v>100</v>
      </c>
      <c r="Q21" s="19">
        <v>95</v>
      </c>
      <c r="R21" s="19">
        <v>100</v>
      </c>
      <c r="S21" s="19">
        <v>100</v>
      </c>
      <c r="T21" s="19">
        <v>100</v>
      </c>
      <c r="U21" s="19">
        <v>95</v>
      </c>
      <c r="V21" s="19">
        <v>95</v>
      </c>
      <c r="W21" s="19">
        <v>95</v>
      </c>
      <c r="X21" s="19">
        <v>95</v>
      </c>
      <c r="Y21" s="19">
        <v>95</v>
      </c>
      <c r="Z21" s="19">
        <v>95</v>
      </c>
      <c r="AA21" s="19"/>
      <c r="AB21" s="19"/>
      <c r="AC21" s="19"/>
      <c r="AD21" s="19"/>
      <c r="AE21" s="19"/>
      <c r="AF21" s="19"/>
      <c r="AG21" s="19"/>
      <c r="AH21" s="19"/>
      <c r="AI21" s="19"/>
      <c r="AJ21" s="19"/>
      <c r="AK21" s="19"/>
      <c r="AL21" s="19"/>
      <c r="AM21" s="19"/>
      <c r="AN21" s="19"/>
      <c r="AO21" s="19"/>
      <c r="AP21" s="19"/>
      <c r="AQ21" s="19"/>
      <c r="AR21" s="20"/>
      <c r="AS21" s="14"/>
      <c r="AT21" s="12" t="s">
        <v>190</v>
      </c>
      <c r="AU21" s="12" t="s">
        <v>168</v>
      </c>
      <c r="AW21" s="33" t="str">
        <v>NDL</v>
      </c>
      <c r="AY21" t="str">
        <v>NUR DOLLY</v>
      </c>
    </row>
    <row r="22" spans="2:51" x14ac:dyDescent="0.25">
      <c r="B22" s="161" t="s">
        <v>201</v>
      </c>
      <c r="C22" s="18"/>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20"/>
      <c r="AS22" s="14"/>
      <c r="AT22" s="17"/>
      <c r="AU22" s="17"/>
      <c r="AW22" s="33" t="str">
        <v>PTB</v>
      </c>
      <c r="AY22" t="str">
        <v xml:space="preserve">PUTAR BALIK </v>
      </c>
    </row>
    <row r="23" spans="2:51" x14ac:dyDescent="0.25">
      <c r="B23" s="161" t="s">
        <v>202</v>
      </c>
      <c r="C23" s="18"/>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20"/>
      <c r="AS23" s="14"/>
      <c r="AT23" s="17"/>
      <c r="AU23" s="17"/>
      <c r="AW23" s="33" t="str">
        <v>RNI</v>
      </c>
      <c r="AY23" t="str">
        <v xml:space="preserve">RONI </v>
      </c>
    </row>
    <row r="24" spans="2:51" x14ac:dyDescent="0.25">
      <c r="B24" s="106" t="s">
        <v>91</v>
      </c>
      <c r="C24" s="18">
        <v>70</v>
      </c>
      <c r="D24" s="19">
        <v>70</v>
      </c>
      <c r="E24" s="19">
        <v>65</v>
      </c>
      <c r="F24" s="19">
        <v>65</v>
      </c>
      <c r="G24" s="19">
        <v>65</v>
      </c>
      <c r="H24" s="19">
        <v>0</v>
      </c>
      <c r="I24" s="19">
        <v>65</v>
      </c>
      <c r="J24" s="19">
        <v>65</v>
      </c>
      <c r="K24" s="19">
        <v>65</v>
      </c>
      <c r="L24" s="19">
        <v>65</v>
      </c>
      <c r="M24" s="19">
        <v>65</v>
      </c>
      <c r="N24" s="19">
        <v>70</v>
      </c>
      <c r="O24" s="19">
        <v>70</v>
      </c>
      <c r="P24" s="19">
        <v>70</v>
      </c>
      <c r="Q24" s="19">
        <v>65</v>
      </c>
      <c r="R24" s="19">
        <v>70</v>
      </c>
      <c r="S24" s="19">
        <v>70</v>
      </c>
      <c r="T24" s="19">
        <v>70</v>
      </c>
      <c r="U24" s="19">
        <v>65</v>
      </c>
      <c r="V24" s="19">
        <v>65</v>
      </c>
      <c r="W24" s="19">
        <v>65</v>
      </c>
      <c r="X24" s="19">
        <v>65</v>
      </c>
      <c r="Y24" s="19">
        <v>65</v>
      </c>
      <c r="Z24" s="19">
        <v>65</v>
      </c>
      <c r="AA24" s="19"/>
      <c r="AB24" s="19"/>
      <c r="AC24" s="19"/>
      <c r="AD24" s="19"/>
      <c r="AE24" s="19"/>
      <c r="AF24" s="19"/>
      <c r="AG24" s="19"/>
      <c r="AH24" s="19"/>
      <c r="AI24" s="19"/>
      <c r="AJ24" s="19"/>
      <c r="AK24" s="19"/>
      <c r="AL24" s="19"/>
      <c r="AM24" s="19"/>
      <c r="AN24" s="19"/>
      <c r="AO24" s="19"/>
      <c r="AP24" s="19"/>
      <c r="AQ24" s="19"/>
      <c r="AR24" s="20"/>
      <c r="AS24" s="14"/>
      <c r="AT24" s="12" t="s">
        <v>191</v>
      </c>
      <c r="AU24" s="12" t="s">
        <v>169</v>
      </c>
      <c r="AW24" s="33" t="str">
        <v>SIM</v>
      </c>
      <c r="AY24" t="str">
        <v>SEKOLILO DEPAN</v>
      </c>
    </row>
    <row r="25" spans="2:51" x14ac:dyDescent="0.25">
      <c r="B25" s="106" t="s">
        <v>92</v>
      </c>
      <c r="C25" s="18">
        <v>80</v>
      </c>
      <c r="D25" s="19">
        <v>80</v>
      </c>
      <c r="E25" s="19">
        <v>80</v>
      </c>
      <c r="F25" s="19">
        <v>80</v>
      </c>
      <c r="G25" s="19">
        <v>80</v>
      </c>
      <c r="H25" s="19">
        <v>0</v>
      </c>
      <c r="I25" s="19">
        <v>80</v>
      </c>
      <c r="J25" s="19">
        <v>80</v>
      </c>
      <c r="K25" s="19">
        <v>80</v>
      </c>
      <c r="L25" s="19">
        <v>80</v>
      </c>
      <c r="M25" s="19">
        <v>80</v>
      </c>
      <c r="N25" s="19">
        <v>80</v>
      </c>
      <c r="O25" s="19">
        <v>80</v>
      </c>
      <c r="P25" s="19">
        <v>80</v>
      </c>
      <c r="Q25" s="19">
        <v>80</v>
      </c>
      <c r="R25" s="19">
        <v>80</v>
      </c>
      <c r="S25" s="19">
        <v>80</v>
      </c>
      <c r="T25" s="19">
        <v>80</v>
      </c>
      <c r="U25" s="19">
        <v>80</v>
      </c>
      <c r="V25" s="19">
        <v>80</v>
      </c>
      <c r="W25" s="19">
        <v>80</v>
      </c>
      <c r="X25" s="19">
        <v>80</v>
      </c>
      <c r="Y25" s="19">
        <v>80</v>
      </c>
      <c r="Z25" s="19">
        <v>80</v>
      </c>
      <c r="AA25" s="19"/>
      <c r="AB25" s="19"/>
      <c r="AC25" s="19"/>
      <c r="AD25" s="19"/>
      <c r="AE25" s="19"/>
      <c r="AF25" s="19"/>
      <c r="AG25" s="19"/>
      <c r="AH25" s="19"/>
      <c r="AI25" s="19"/>
      <c r="AJ25" s="19"/>
      <c r="AK25" s="19"/>
      <c r="AL25" s="19"/>
      <c r="AM25" s="19"/>
      <c r="AN25" s="19"/>
      <c r="AO25" s="19"/>
      <c r="AP25" s="19"/>
      <c r="AQ25" s="19"/>
      <c r="AR25" s="20"/>
      <c r="AS25" s="14"/>
      <c r="AT25" s="12" t="s">
        <v>192</v>
      </c>
      <c r="AU25" s="12" t="s">
        <v>170</v>
      </c>
      <c r="AW25" s="33" t="str">
        <v>SKD</v>
      </c>
      <c r="AY25" t="str">
        <v>SIMO</v>
      </c>
    </row>
    <row r="26" spans="2:51" x14ac:dyDescent="0.25">
      <c r="B26" s="106" t="s">
        <v>93</v>
      </c>
      <c r="C26" s="18">
        <v>80</v>
      </c>
      <c r="D26" s="19">
        <v>80</v>
      </c>
      <c r="E26" s="19">
        <v>78</v>
      </c>
      <c r="F26" s="19">
        <v>78</v>
      </c>
      <c r="G26" s="19">
        <v>78</v>
      </c>
      <c r="H26" s="19">
        <v>0</v>
      </c>
      <c r="I26" s="19">
        <v>78</v>
      </c>
      <c r="J26" s="19">
        <v>78</v>
      </c>
      <c r="K26" s="19">
        <v>78</v>
      </c>
      <c r="L26" s="19">
        <v>78</v>
      </c>
      <c r="M26" s="19">
        <v>78</v>
      </c>
      <c r="N26" s="19">
        <v>80</v>
      </c>
      <c r="O26" s="19">
        <v>80</v>
      </c>
      <c r="P26" s="19">
        <v>80</v>
      </c>
      <c r="Q26" s="19">
        <v>78</v>
      </c>
      <c r="R26" s="19">
        <v>80</v>
      </c>
      <c r="S26" s="19">
        <v>80</v>
      </c>
      <c r="T26" s="19">
        <v>80</v>
      </c>
      <c r="U26" s="19">
        <v>78</v>
      </c>
      <c r="V26" s="19">
        <v>78</v>
      </c>
      <c r="W26" s="19">
        <v>78</v>
      </c>
      <c r="X26" s="19">
        <v>78</v>
      </c>
      <c r="Y26" s="19">
        <v>78</v>
      </c>
      <c r="Z26" s="19">
        <v>78</v>
      </c>
      <c r="AA26" s="19"/>
      <c r="AB26" s="19"/>
      <c r="AC26" s="19"/>
      <c r="AD26" s="19"/>
      <c r="AE26" s="19"/>
      <c r="AF26" s="19"/>
      <c r="AG26" s="19"/>
      <c r="AH26" s="19"/>
      <c r="AI26" s="19"/>
      <c r="AJ26" s="19"/>
      <c r="AK26" s="19"/>
      <c r="AL26" s="19"/>
      <c r="AM26" s="19"/>
      <c r="AN26" s="19"/>
      <c r="AO26" s="19"/>
      <c r="AP26" s="19"/>
      <c r="AQ26" s="19"/>
      <c r="AR26" s="20"/>
      <c r="AS26" s="14"/>
      <c r="AT26" s="12" t="s">
        <v>193</v>
      </c>
      <c r="AU26" s="12" t="s">
        <v>163</v>
      </c>
      <c r="AW26" s="33" t="str">
        <v>TGH</v>
      </c>
      <c r="AY26" t="str">
        <v>TEGUH</v>
      </c>
    </row>
    <row r="27" spans="2:51" x14ac:dyDescent="0.25">
      <c r="B27" s="106" t="s">
        <v>94</v>
      </c>
      <c r="C27" s="18">
        <v>80</v>
      </c>
      <c r="D27" s="19">
        <v>80</v>
      </c>
      <c r="E27" s="19">
        <v>78</v>
      </c>
      <c r="F27" s="19">
        <v>78</v>
      </c>
      <c r="G27" s="19">
        <v>78</v>
      </c>
      <c r="H27" s="19">
        <v>0</v>
      </c>
      <c r="I27" s="19">
        <v>78</v>
      </c>
      <c r="J27" s="19">
        <v>78</v>
      </c>
      <c r="K27" s="19">
        <v>78</v>
      </c>
      <c r="L27" s="19">
        <v>78</v>
      </c>
      <c r="M27" s="19">
        <v>78</v>
      </c>
      <c r="N27" s="19">
        <v>80</v>
      </c>
      <c r="O27" s="19">
        <v>80</v>
      </c>
      <c r="P27" s="19">
        <v>80</v>
      </c>
      <c r="Q27" s="19">
        <v>78</v>
      </c>
      <c r="R27" s="19">
        <v>80</v>
      </c>
      <c r="S27" s="19">
        <v>80</v>
      </c>
      <c r="T27" s="19">
        <v>80</v>
      </c>
      <c r="U27" s="19">
        <v>78</v>
      </c>
      <c r="V27" s="19">
        <v>78</v>
      </c>
      <c r="W27" s="19">
        <v>78</v>
      </c>
      <c r="X27" s="19">
        <v>78</v>
      </c>
      <c r="Y27" s="19">
        <v>78</v>
      </c>
      <c r="Z27" s="19">
        <v>78</v>
      </c>
      <c r="AA27" s="19"/>
      <c r="AB27" s="19"/>
      <c r="AC27" s="19"/>
      <c r="AD27" s="19"/>
      <c r="AE27" s="19"/>
      <c r="AF27" s="19"/>
      <c r="AG27" s="19"/>
      <c r="AH27" s="19"/>
      <c r="AI27" s="19"/>
      <c r="AJ27" s="19"/>
      <c r="AK27" s="19"/>
      <c r="AL27" s="19"/>
      <c r="AM27" s="19"/>
      <c r="AN27" s="19"/>
      <c r="AO27" s="19"/>
      <c r="AP27" s="19"/>
      <c r="AQ27" s="19"/>
      <c r="AR27" s="20"/>
      <c r="AS27" s="14"/>
      <c r="AT27" s="12" t="s">
        <v>194</v>
      </c>
      <c r="AU27" s="12" t="s">
        <v>38</v>
      </c>
      <c r="AW27" s="33" t="str">
        <v>UMK</v>
      </c>
      <c r="AY27" t="str">
        <v xml:space="preserve">UMIK </v>
      </c>
    </row>
    <row r="28" spans="2:51" x14ac:dyDescent="0.25">
      <c r="B28" s="106" t="s">
        <v>95</v>
      </c>
      <c r="C28" s="18">
        <v>80</v>
      </c>
      <c r="D28" s="19">
        <v>80</v>
      </c>
      <c r="E28" s="19">
        <v>80</v>
      </c>
      <c r="F28" s="19">
        <v>80</v>
      </c>
      <c r="G28" s="19">
        <v>80</v>
      </c>
      <c r="H28" s="19">
        <v>0</v>
      </c>
      <c r="I28" s="19">
        <v>80</v>
      </c>
      <c r="J28" s="19">
        <v>80</v>
      </c>
      <c r="K28" s="19">
        <v>80</v>
      </c>
      <c r="L28" s="19">
        <v>80</v>
      </c>
      <c r="M28" s="19">
        <v>80</v>
      </c>
      <c r="N28" s="19">
        <v>80</v>
      </c>
      <c r="O28" s="19">
        <v>80</v>
      </c>
      <c r="P28" s="19">
        <v>80</v>
      </c>
      <c r="Q28" s="19">
        <v>80</v>
      </c>
      <c r="R28" s="19">
        <v>80</v>
      </c>
      <c r="S28" s="19">
        <v>80</v>
      </c>
      <c r="T28" s="19">
        <v>80</v>
      </c>
      <c r="U28" s="19">
        <v>80</v>
      </c>
      <c r="V28" s="19">
        <v>80</v>
      </c>
      <c r="W28" s="19">
        <v>80</v>
      </c>
      <c r="X28" s="19">
        <v>80</v>
      </c>
      <c r="Y28" s="19">
        <v>80</v>
      </c>
      <c r="Z28" s="19">
        <v>80</v>
      </c>
      <c r="AA28" s="19"/>
      <c r="AB28" s="19"/>
      <c r="AC28" s="19"/>
      <c r="AD28" s="19"/>
      <c r="AE28" s="19"/>
      <c r="AF28" s="19"/>
      <c r="AG28" s="19"/>
      <c r="AH28" s="19"/>
      <c r="AI28" s="19"/>
      <c r="AJ28" s="19"/>
      <c r="AK28" s="19"/>
      <c r="AL28" s="19"/>
      <c r="AM28" s="19"/>
      <c r="AN28" s="19"/>
      <c r="AO28" s="19"/>
      <c r="AP28" s="19"/>
      <c r="AQ28" s="19"/>
      <c r="AR28" s="20"/>
      <c r="AS28" s="14"/>
      <c r="AT28" s="12" t="s">
        <v>195</v>
      </c>
      <c r="AU28" s="12" t="s">
        <v>56</v>
      </c>
      <c r="AW28" s="33" t="str">
        <v>WHY</v>
      </c>
      <c r="AY28" t="str">
        <v>WAHYU</v>
      </c>
    </row>
    <row r="29" spans="2:51" x14ac:dyDescent="0.25">
      <c r="B29" s="106" t="s">
        <v>96</v>
      </c>
      <c r="C29" s="18">
        <v>80</v>
      </c>
      <c r="D29" s="19">
        <v>80</v>
      </c>
      <c r="E29" s="19">
        <v>78</v>
      </c>
      <c r="F29" s="19">
        <v>78</v>
      </c>
      <c r="G29" s="19">
        <v>78</v>
      </c>
      <c r="H29" s="19">
        <v>0</v>
      </c>
      <c r="I29" s="19">
        <v>78</v>
      </c>
      <c r="J29" s="19">
        <v>78</v>
      </c>
      <c r="K29" s="19">
        <v>78</v>
      </c>
      <c r="L29" s="19">
        <v>78</v>
      </c>
      <c r="M29" s="19">
        <v>78</v>
      </c>
      <c r="N29" s="19">
        <v>80</v>
      </c>
      <c r="O29" s="19">
        <v>80</v>
      </c>
      <c r="P29" s="19">
        <v>80</v>
      </c>
      <c r="Q29" s="19">
        <v>78</v>
      </c>
      <c r="R29" s="19">
        <v>80</v>
      </c>
      <c r="S29" s="19">
        <v>80</v>
      </c>
      <c r="T29" s="19">
        <v>80</v>
      </c>
      <c r="U29" s="19">
        <v>78</v>
      </c>
      <c r="V29" s="19">
        <v>78</v>
      </c>
      <c r="W29" s="19">
        <v>78</v>
      </c>
      <c r="X29" s="19">
        <v>78</v>
      </c>
      <c r="Y29" s="19">
        <v>78</v>
      </c>
      <c r="Z29" s="19">
        <v>78</v>
      </c>
      <c r="AA29" s="19"/>
      <c r="AB29" s="19"/>
      <c r="AC29" s="19"/>
      <c r="AD29" s="19"/>
      <c r="AE29" s="19"/>
      <c r="AF29" s="19"/>
      <c r="AG29" s="19"/>
      <c r="AH29" s="19"/>
      <c r="AI29" s="19"/>
      <c r="AJ29" s="19"/>
      <c r="AK29" s="19"/>
      <c r="AL29" s="19"/>
      <c r="AM29" s="19"/>
      <c r="AN29" s="19"/>
      <c r="AO29" s="19"/>
      <c r="AP29" s="19"/>
      <c r="AQ29" s="19"/>
      <c r="AR29" s="20"/>
      <c r="AS29" s="14"/>
      <c r="AT29" s="12" t="s">
        <v>196</v>
      </c>
      <c r="AU29" s="163" t="s">
        <v>55</v>
      </c>
      <c r="AW29" s="33" t="str">
        <v>WNK</v>
      </c>
      <c r="AY29" t="str">
        <v>WONOKROMO</v>
      </c>
    </row>
    <row r="30" spans="2:51" x14ac:dyDescent="0.25">
      <c r="B30" s="106" t="s">
        <v>97</v>
      </c>
      <c r="C30" s="18">
        <v>80</v>
      </c>
      <c r="D30" s="19">
        <v>80</v>
      </c>
      <c r="E30" s="19">
        <v>78</v>
      </c>
      <c r="F30" s="19">
        <v>78</v>
      </c>
      <c r="G30" s="19">
        <v>78</v>
      </c>
      <c r="H30" s="19">
        <v>0</v>
      </c>
      <c r="I30" s="19">
        <v>78</v>
      </c>
      <c r="J30" s="19">
        <v>78</v>
      </c>
      <c r="K30" s="19">
        <v>78</v>
      </c>
      <c r="L30" s="19">
        <v>78</v>
      </c>
      <c r="M30" s="19">
        <v>78</v>
      </c>
      <c r="N30" s="19">
        <v>80</v>
      </c>
      <c r="O30" s="19">
        <v>80</v>
      </c>
      <c r="P30" s="19">
        <v>80</v>
      </c>
      <c r="Q30" s="19">
        <v>78</v>
      </c>
      <c r="R30" s="19">
        <v>80</v>
      </c>
      <c r="S30" s="19">
        <v>80</v>
      </c>
      <c r="T30" s="19">
        <v>80</v>
      </c>
      <c r="U30" s="19">
        <v>78</v>
      </c>
      <c r="V30" s="19">
        <v>78</v>
      </c>
      <c r="W30" s="19">
        <v>78</v>
      </c>
      <c r="X30" s="19">
        <v>78</v>
      </c>
      <c r="Y30" s="19">
        <v>78</v>
      </c>
      <c r="Z30" s="19">
        <v>78</v>
      </c>
      <c r="AA30" s="19"/>
      <c r="AB30" s="19"/>
      <c r="AC30" s="19"/>
      <c r="AD30" s="19"/>
      <c r="AE30" s="19"/>
      <c r="AF30" s="19"/>
      <c r="AG30" s="19"/>
      <c r="AH30" s="19"/>
      <c r="AI30" s="19"/>
      <c r="AJ30" s="19"/>
      <c r="AK30" s="19"/>
      <c r="AL30" s="19"/>
      <c r="AM30" s="19"/>
      <c r="AN30" s="19"/>
      <c r="AO30" s="19"/>
      <c r="AP30" s="19"/>
      <c r="AQ30" s="19"/>
      <c r="AR30" s="20"/>
      <c r="AS30" s="14"/>
      <c r="AT30" s="12" t="s">
        <v>197</v>
      </c>
      <c r="AU30" s="163" t="s">
        <v>32</v>
      </c>
      <c r="AW30" s="33" t="str">
        <v>YDI</v>
      </c>
      <c r="AY30" t="str">
        <v>YADI</v>
      </c>
    </row>
    <row r="31" spans="2:51" x14ac:dyDescent="0.25">
      <c r="B31" s="106" t="s">
        <v>24</v>
      </c>
      <c r="C31" s="18">
        <v>97</v>
      </c>
      <c r="D31" s="19">
        <v>97</v>
      </c>
      <c r="E31" s="19">
        <v>95</v>
      </c>
      <c r="F31" s="19">
        <v>95</v>
      </c>
      <c r="G31" s="19">
        <v>95</v>
      </c>
      <c r="H31" s="19">
        <v>0</v>
      </c>
      <c r="I31" s="19">
        <v>95</v>
      </c>
      <c r="J31" s="19">
        <v>95</v>
      </c>
      <c r="K31" s="19">
        <v>95</v>
      </c>
      <c r="L31" s="19">
        <v>95</v>
      </c>
      <c r="M31" s="19">
        <v>95</v>
      </c>
      <c r="N31" s="19">
        <v>97</v>
      </c>
      <c r="O31" s="19">
        <v>97</v>
      </c>
      <c r="P31" s="19">
        <v>97</v>
      </c>
      <c r="Q31" s="19">
        <v>95</v>
      </c>
      <c r="R31" s="19">
        <v>97</v>
      </c>
      <c r="S31" s="19">
        <v>97</v>
      </c>
      <c r="T31" s="19">
        <v>97</v>
      </c>
      <c r="U31" s="19">
        <v>95</v>
      </c>
      <c r="V31" s="19">
        <v>95</v>
      </c>
      <c r="W31" s="19">
        <v>95</v>
      </c>
      <c r="X31" s="19">
        <v>95</v>
      </c>
      <c r="Y31" s="19">
        <v>95</v>
      </c>
      <c r="Z31" s="19">
        <v>95</v>
      </c>
      <c r="AA31" s="19"/>
      <c r="AB31" s="19"/>
      <c r="AC31" s="19"/>
      <c r="AD31" s="19"/>
      <c r="AE31" s="19"/>
      <c r="AF31" s="19"/>
      <c r="AG31" s="19"/>
      <c r="AH31" s="19"/>
      <c r="AI31" s="19"/>
      <c r="AJ31" s="19"/>
      <c r="AK31" s="19"/>
      <c r="AL31" s="19"/>
      <c r="AM31" s="19"/>
      <c r="AN31" s="19"/>
      <c r="AO31" s="19"/>
      <c r="AP31" s="19"/>
      <c r="AQ31" s="19"/>
      <c r="AR31" s="20"/>
      <c r="AS31" s="14"/>
      <c r="AT31" s="12" t="s">
        <v>198</v>
      </c>
      <c r="AU31" s="163" t="s">
        <v>28</v>
      </c>
      <c r="AW31" s="33">
        <v>0</v>
      </c>
      <c r="AY31">
        <v>0</v>
      </c>
    </row>
    <row r="32" spans="2:51" x14ac:dyDescent="0.25">
      <c r="B32" s="106" t="s">
        <v>22</v>
      </c>
      <c r="C32" s="18">
        <v>97</v>
      </c>
      <c r="D32" s="19">
        <v>97</v>
      </c>
      <c r="E32" s="19">
        <v>95</v>
      </c>
      <c r="F32" s="19">
        <v>95</v>
      </c>
      <c r="G32" s="19">
        <v>95</v>
      </c>
      <c r="H32" s="19">
        <v>0</v>
      </c>
      <c r="I32" s="19">
        <v>95</v>
      </c>
      <c r="J32" s="19">
        <v>95</v>
      </c>
      <c r="K32" s="19">
        <v>95</v>
      </c>
      <c r="L32" s="19">
        <v>95</v>
      </c>
      <c r="M32" s="19">
        <v>95</v>
      </c>
      <c r="N32" s="19">
        <v>97</v>
      </c>
      <c r="O32" s="19">
        <v>97</v>
      </c>
      <c r="P32" s="19">
        <v>97</v>
      </c>
      <c r="Q32" s="19">
        <v>95</v>
      </c>
      <c r="R32" s="19">
        <v>97</v>
      </c>
      <c r="S32" s="19">
        <v>97</v>
      </c>
      <c r="T32" s="19">
        <v>97</v>
      </c>
      <c r="U32" s="19">
        <v>95</v>
      </c>
      <c r="V32" s="19">
        <v>95</v>
      </c>
      <c r="W32" s="19">
        <v>95</v>
      </c>
      <c r="X32" s="19">
        <v>95</v>
      </c>
      <c r="Y32" s="19">
        <v>95</v>
      </c>
      <c r="Z32" s="19">
        <v>95</v>
      </c>
      <c r="AA32" s="19"/>
      <c r="AB32" s="19"/>
      <c r="AC32" s="19"/>
      <c r="AD32" s="19"/>
      <c r="AE32" s="19"/>
      <c r="AF32" s="19"/>
      <c r="AG32" s="19"/>
      <c r="AH32" s="19"/>
      <c r="AI32" s="19"/>
      <c r="AJ32" s="19"/>
      <c r="AK32" s="19"/>
      <c r="AL32" s="19"/>
      <c r="AM32" s="19"/>
      <c r="AN32" s="19"/>
      <c r="AO32" s="19"/>
      <c r="AP32" s="19"/>
      <c r="AQ32" s="19"/>
      <c r="AR32" s="20"/>
      <c r="AS32" s="14"/>
      <c r="AT32" s="12"/>
      <c r="AU32" s="163"/>
      <c r="AW32" s="33">
        <v>0</v>
      </c>
      <c r="AY32">
        <v>0</v>
      </c>
    </row>
    <row r="33" spans="2:51" x14ac:dyDescent="0.25">
      <c r="B33" s="106" t="s">
        <v>34</v>
      </c>
      <c r="C33" s="18">
        <v>97</v>
      </c>
      <c r="D33" s="19">
        <v>97</v>
      </c>
      <c r="E33" s="19">
        <v>95</v>
      </c>
      <c r="F33" s="19">
        <v>95</v>
      </c>
      <c r="G33" s="19">
        <v>95</v>
      </c>
      <c r="H33" s="19">
        <v>0</v>
      </c>
      <c r="I33" s="19">
        <v>95</v>
      </c>
      <c r="J33" s="19">
        <v>95</v>
      </c>
      <c r="K33" s="19">
        <v>95</v>
      </c>
      <c r="L33" s="19">
        <v>95</v>
      </c>
      <c r="M33" s="19">
        <v>95</v>
      </c>
      <c r="N33" s="19">
        <v>97</v>
      </c>
      <c r="O33" s="19">
        <v>97</v>
      </c>
      <c r="P33" s="19">
        <v>97</v>
      </c>
      <c r="Q33" s="19">
        <v>95</v>
      </c>
      <c r="R33" s="19">
        <v>97</v>
      </c>
      <c r="S33" s="19">
        <v>97</v>
      </c>
      <c r="T33" s="19">
        <v>97</v>
      </c>
      <c r="U33" s="19">
        <v>95</v>
      </c>
      <c r="V33" s="19">
        <v>95</v>
      </c>
      <c r="W33" s="19">
        <v>95</v>
      </c>
      <c r="X33" s="19">
        <v>95</v>
      </c>
      <c r="Y33" s="19">
        <v>95</v>
      </c>
      <c r="Z33" s="19">
        <v>95</v>
      </c>
      <c r="AA33" s="19"/>
      <c r="AB33" s="19"/>
      <c r="AC33" s="19"/>
      <c r="AD33" s="19"/>
      <c r="AE33" s="19"/>
      <c r="AF33" s="19"/>
      <c r="AG33" s="19"/>
      <c r="AH33" s="19"/>
      <c r="AI33" s="19"/>
      <c r="AJ33" s="19"/>
      <c r="AK33" s="19"/>
      <c r="AL33" s="19"/>
      <c r="AM33" s="19"/>
      <c r="AN33" s="19"/>
      <c r="AO33" s="19"/>
      <c r="AP33" s="19"/>
      <c r="AQ33" s="19"/>
      <c r="AR33" s="20"/>
      <c r="AS33" s="14"/>
      <c r="AT33" s="12"/>
      <c r="AU33" s="163"/>
      <c r="AW33" s="33">
        <v>0</v>
      </c>
      <c r="AY33">
        <v>0</v>
      </c>
    </row>
    <row r="34" spans="2:51" x14ac:dyDescent="0.25">
      <c r="B34" s="106" t="s">
        <v>23</v>
      </c>
      <c r="C34" s="18">
        <v>83</v>
      </c>
      <c r="D34" s="19">
        <v>83</v>
      </c>
      <c r="E34" s="19">
        <v>80</v>
      </c>
      <c r="F34" s="19">
        <v>80</v>
      </c>
      <c r="G34" s="19">
        <v>80</v>
      </c>
      <c r="H34" s="19">
        <v>0</v>
      </c>
      <c r="I34" s="19">
        <v>80</v>
      </c>
      <c r="J34" s="19">
        <v>80</v>
      </c>
      <c r="K34" s="19">
        <v>80</v>
      </c>
      <c r="L34" s="19">
        <v>80</v>
      </c>
      <c r="M34" s="19">
        <v>80</v>
      </c>
      <c r="N34" s="19">
        <v>83</v>
      </c>
      <c r="O34" s="19">
        <v>83</v>
      </c>
      <c r="P34" s="19">
        <v>85</v>
      </c>
      <c r="Q34" s="19">
        <v>80</v>
      </c>
      <c r="R34" s="19">
        <v>83</v>
      </c>
      <c r="S34" s="19">
        <v>83</v>
      </c>
      <c r="T34" s="19">
        <v>83</v>
      </c>
      <c r="U34" s="19">
        <v>80</v>
      </c>
      <c r="V34" s="19">
        <v>80</v>
      </c>
      <c r="W34" s="19">
        <v>80</v>
      </c>
      <c r="X34" s="19">
        <v>80</v>
      </c>
      <c r="Y34" s="19">
        <v>80</v>
      </c>
      <c r="Z34" s="19">
        <v>83</v>
      </c>
      <c r="AA34" s="19"/>
      <c r="AB34" s="19"/>
      <c r="AC34" s="19"/>
      <c r="AD34" s="19"/>
      <c r="AE34" s="19"/>
      <c r="AF34" s="19"/>
      <c r="AG34" s="19"/>
      <c r="AH34" s="19"/>
      <c r="AI34" s="19"/>
      <c r="AJ34" s="19"/>
      <c r="AK34" s="19"/>
      <c r="AL34" s="19"/>
      <c r="AM34" s="19"/>
      <c r="AN34" s="19"/>
      <c r="AO34" s="19"/>
      <c r="AP34" s="19"/>
      <c r="AQ34" s="19"/>
      <c r="AR34" s="20"/>
      <c r="AS34" s="14"/>
      <c r="AT34" s="101"/>
      <c r="AW34" s="33">
        <v>0</v>
      </c>
      <c r="AY34">
        <v>0</v>
      </c>
    </row>
    <row r="35" spans="2:51" x14ac:dyDescent="0.25">
      <c r="B35" s="161" t="s">
        <v>153</v>
      </c>
      <c r="C35" s="18"/>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20"/>
      <c r="AS35" s="14"/>
      <c r="AT35" s="166"/>
      <c r="AU35" s="162"/>
      <c r="AW35" s="33">
        <v>0</v>
      </c>
      <c r="AY35">
        <v>0</v>
      </c>
    </row>
    <row r="36" spans="2:51" x14ac:dyDescent="0.25">
      <c r="B36" s="161" t="s">
        <v>152</v>
      </c>
      <c r="C36" s="18"/>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20"/>
      <c r="AS36" s="14"/>
      <c r="AT36" s="166"/>
      <c r="AU36" s="162"/>
      <c r="AW36" s="33">
        <v>0</v>
      </c>
      <c r="AY36">
        <v>0</v>
      </c>
    </row>
    <row r="37" spans="2:51" x14ac:dyDescent="0.25">
      <c r="B37" s="161" t="s">
        <v>199</v>
      </c>
      <c r="C37" s="18"/>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20"/>
      <c r="AS37" s="14"/>
      <c r="AT37" s="162"/>
      <c r="AU37" s="162"/>
      <c r="AW37" s="33">
        <v>0</v>
      </c>
      <c r="AY37">
        <v>0</v>
      </c>
    </row>
    <row r="38" spans="2:51" x14ac:dyDescent="0.25">
      <c r="B38" s="161" t="s">
        <v>200</v>
      </c>
      <c r="C38" s="18"/>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20"/>
      <c r="AS38" s="14"/>
      <c r="AT38" s="162"/>
      <c r="AU38" s="162"/>
      <c r="AW38" s="33">
        <v>0</v>
      </c>
      <c r="AY38">
        <v>0</v>
      </c>
    </row>
    <row r="39" spans="2:51" x14ac:dyDescent="0.25">
      <c r="B39" s="106" t="s">
        <v>27</v>
      </c>
      <c r="C39" s="18">
        <v>70</v>
      </c>
      <c r="D39" s="19">
        <v>70</v>
      </c>
      <c r="E39" s="19">
        <v>70</v>
      </c>
      <c r="F39" s="19">
        <v>70</v>
      </c>
      <c r="G39" s="19">
        <v>70</v>
      </c>
      <c r="H39" s="19">
        <v>0</v>
      </c>
      <c r="I39" s="19">
        <v>70</v>
      </c>
      <c r="J39" s="19">
        <v>70</v>
      </c>
      <c r="K39" s="19">
        <v>70</v>
      </c>
      <c r="L39" s="19">
        <v>70</v>
      </c>
      <c r="M39" s="19">
        <v>70</v>
      </c>
      <c r="N39" s="19">
        <v>70</v>
      </c>
      <c r="O39" s="19">
        <v>70</v>
      </c>
      <c r="P39" s="19">
        <v>75</v>
      </c>
      <c r="Q39" s="19">
        <v>70</v>
      </c>
      <c r="R39" s="19">
        <v>70</v>
      </c>
      <c r="S39" s="19">
        <v>70</v>
      </c>
      <c r="T39" s="19">
        <v>70</v>
      </c>
      <c r="U39" s="19">
        <v>70</v>
      </c>
      <c r="V39" s="19">
        <v>70</v>
      </c>
      <c r="W39" s="19">
        <v>70</v>
      </c>
      <c r="X39" s="19">
        <v>70</v>
      </c>
      <c r="Y39" s="19">
        <v>70</v>
      </c>
      <c r="Z39" s="19">
        <v>70</v>
      </c>
      <c r="AA39" s="19"/>
      <c r="AB39" s="19"/>
      <c r="AC39" s="19"/>
      <c r="AD39" s="19"/>
      <c r="AE39" s="19"/>
      <c r="AF39" s="19"/>
      <c r="AG39" s="19"/>
      <c r="AH39" s="19"/>
      <c r="AI39" s="19"/>
      <c r="AJ39" s="19"/>
      <c r="AK39" s="19"/>
      <c r="AL39" s="19"/>
      <c r="AM39" s="19"/>
      <c r="AN39" s="19"/>
      <c r="AO39" s="19"/>
      <c r="AP39" s="19"/>
      <c r="AQ39" s="19"/>
      <c r="AR39" s="20"/>
      <c r="AS39" s="14"/>
      <c r="AW39" s="33">
        <v>0</v>
      </c>
      <c r="AY39">
        <v>0</v>
      </c>
    </row>
    <row r="40" spans="2:51" x14ac:dyDescent="0.25">
      <c r="B40" s="106" t="s">
        <v>98</v>
      </c>
      <c r="C40" s="18">
        <v>70</v>
      </c>
      <c r="D40" s="19">
        <v>70</v>
      </c>
      <c r="E40" s="19">
        <v>70</v>
      </c>
      <c r="F40" s="19">
        <v>70</v>
      </c>
      <c r="G40" s="19">
        <v>70</v>
      </c>
      <c r="H40" s="19">
        <v>0</v>
      </c>
      <c r="I40" s="19">
        <v>70</v>
      </c>
      <c r="J40" s="19">
        <v>70</v>
      </c>
      <c r="K40" s="19">
        <v>70</v>
      </c>
      <c r="L40" s="19">
        <v>70</v>
      </c>
      <c r="M40" s="19">
        <v>70</v>
      </c>
      <c r="N40" s="19">
        <v>70</v>
      </c>
      <c r="O40" s="19">
        <v>70</v>
      </c>
      <c r="P40" s="19">
        <v>70</v>
      </c>
      <c r="Q40" s="19">
        <v>70</v>
      </c>
      <c r="R40" s="19">
        <v>70</v>
      </c>
      <c r="S40" s="19">
        <v>70</v>
      </c>
      <c r="T40" s="19">
        <v>70</v>
      </c>
      <c r="U40" s="19">
        <v>70</v>
      </c>
      <c r="V40" s="19">
        <v>70</v>
      </c>
      <c r="W40" s="19">
        <v>70</v>
      </c>
      <c r="X40" s="19">
        <v>70</v>
      </c>
      <c r="Y40" s="19">
        <v>70</v>
      </c>
      <c r="Z40" s="19">
        <v>70</v>
      </c>
      <c r="AA40" s="19"/>
      <c r="AB40" s="19"/>
      <c r="AC40" s="19"/>
      <c r="AD40" s="19"/>
      <c r="AE40" s="19"/>
      <c r="AF40" s="19"/>
      <c r="AG40" s="19"/>
      <c r="AH40" s="19"/>
      <c r="AI40" s="19"/>
      <c r="AJ40" s="19"/>
      <c r="AK40" s="19"/>
      <c r="AL40" s="19"/>
      <c r="AM40" s="19"/>
      <c r="AN40" s="19"/>
      <c r="AO40" s="19"/>
      <c r="AP40" s="19"/>
      <c r="AQ40" s="19"/>
      <c r="AR40" s="20"/>
      <c r="AS40" s="14"/>
      <c r="AW40" s="33">
        <v>0</v>
      </c>
      <c r="AY40">
        <v>0</v>
      </c>
    </row>
    <row r="41" spans="2:51" x14ac:dyDescent="0.25">
      <c r="B41" s="106" t="s">
        <v>99</v>
      </c>
      <c r="C41" s="18">
        <v>70</v>
      </c>
      <c r="D41" s="19">
        <v>70</v>
      </c>
      <c r="E41" s="19">
        <v>70</v>
      </c>
      <c r="F41" s="19">
        <v>70</v>
      </c>
      <c r="G41" s="19">
        <v>70</v>
      </c>
      <c r="H41" s="19">
        <v>0</v>
      </c>
      <c r="I41" s="19">
        <v>70</v>
      </c>
      <c r="J41" s="19">
        <v>70</v>
      </c>
      <c r="K41" s="19">
        <v>70</v>
      </c>
      <c r="L41" s="19">
        <v>70</v>
      </c>
      <c r="M41" s="19">
        <v>70</v>
      </c>
      <c r="N41" s="19">
        <v>70</v>
      </c>
      <c r="O41" s="19">
        <v>70</v>
      </c>
      <c r="P41" s="19">
        <v>70</v>
      </c>
      <c r="Q41" s="19">
        <v>70</v>
      </c>
      <c r="R41" s="19">
        <v>70</v>
      </c>
      <c r="S41" s="19">
        <v>70</v>
      </c>
      <c r="T41" s="19">
        <v>70</v>
      </c>
      <c r="U41" s="19">
        <v>70</v>
      </c>
      <c r="V41" s="19">
        <v>70</v>
      </c>
      <c r="W41" s="19">
        <v>70</v>
      </c>
      <c r="X41" s="19">
        <v>70</v>
      </c>
      <c r="Y41" s="19">
        <v>70</v>
      </c>
      <c r="Z41" s="19">
        <v>70</v>
      </c>
      <c r="AA41" s="19"/>
      <c r="AB41" s="19"/>
      <c r="AC41" s="19"/>
      <c r="AD41" s="19"/>
      <c r="AE41" s="19"/>
      <c r="AF41" s="19"/>
      <c r="AG41" s="19"/>
      <c r="AH41" s="19"/>
      <c r="AI41" s="19"/>
      <c r="AJ41" s="19"/>
      <c r="AK41" s="19"/>
      <c r="AL41" s="19"/>
      <c r="AM41" s="19"/>
      <c r="AN41" s="19"/>
      <c r="AO41" s="19"/>
      <c r="AP41" s="19"/>
      <c r="AQ41" s="19"/>
      <c r="AR41" s="20"/>
      <c r="AS41" s="14"/>
      <c r="AW41" s="33">
        <v>0</v>
      </c>
      <c r="AY41">
        <v>0</v>
      </c>
    </row>
    <row r="42" spans="2:51" x14ac:dyDescent="0.25">
      <c r="B42" s="106" t="s">
        <v>100</v>
      </c>
      <c r="C42" s="18">
        <v>75</v>
      </c>
      <c r="D42" s="19">
        <v>75</v>
      </c>
      <c r="E42" s="19">
        <v>75</v>
      </c>
      <c r="F42" s="19">
        <v>75</v>
      </c>
      <c r="G42" s="19">
        <v>75</v>
      </c>
      <c r="H42" s="19">
        <v>0</v>
      </c>
      <c r="I42" s="19">
        <v>75</v>
      </c>
      <c r="J42" s="19">
        <v>75</v>
      </c>
      <c r="K42" s="19">
        <v>75</v>
      </c>
      <c r="L42" s="19">
        <v>75</v>
      </c>
      <c r="M42" s="19">
        <v>75</v>
      </c>
      <c r="N42" s="19">
        <v>75</v>
      </c>
      <c r="O42" s="19">
        <v>75</v>
      </c>
      <c r="P42" s="19">
        <v>75</v>
      </c>
      <c r="Q42" s="19">
        <v>75</v>
      </c>
      <c r="R42" s="19">
        <v>75</v>
      </c>
      <c r="S42" s="19">
        <v>75</v>
      </c>
      <c r="T42" s="19">
        <v>75</v>
      </c>
      <c r="U42" s="19">
        <v>75</v>
      </c>
      <c r="V42" s="19">
        <v>75</v>
      </c>
      <c r="W42" s="19">
        <v>75</v>
      </c>
      <c r="X42" s="19">
        <v>75</v>
      </c>
      <c r="Y42" s="19">
        <v>75</v>
      </c>
      <c r="Z42" s="19">
        <v>75</v>
      </c>
      <c r="AA42" s="19"/>
      <c r="AB42" s="19"/>
      <c r="AC42" s="19"/>
      <c r="AD42" s="19"/>
      <c r="AE42" s="19"/>
      <c r="AF42" s="19"/>
      <c r="AG42" s="19"/>
      <c r="AH42" s="19"/>
      <c r="AI42" s="19"/>
      <c r="AJ42" s="19"/>
      <c r="AK42" s="19"/>
      <c r="AL42" s="19"/>
      <c r="AM42" s="19"/>
      <c r="AN42" s="19"/>
      <c r="AO42" s="19"/>
      <c r="AP42" s="19"/>
      <c r="AQ42" s="19"/>
      <c r="AR42" s="20"/>
      <c r="AS42" s="14"/>
      <c r="AW42" s="33">
        <v>0</v>
      </c>
      <c r="AY42">
        <v>0</v>
      </c>
    </row>
    <row r="43" spans="2:51" x14ac:dyDescent="0.25">
      <c r="B43" s="106" t="s">
        <v>15</v>
      </c>
      <c r="C43" s="18">
        <v>70</v>
      </c>
      <c r="D43" s="19">
        <v>70</v>
      </c>
      <c r="E43" s="19">
        <v>70</v>
      </c>
      <c r="F43" s="19">
        <v>68</v>
      </c>
      <c r="G43" s="19">
        <v>68</v>
      </c>
      <c r="H43" s="19">
        <v>0</v>
      </c>
      <c r="I43" s="19">
        <v>68</v>
      </c>
      <c r="J43" s="19">
        <v>68</v>
      </c>
      <c r="K43" s="19">
        <v>70</v>
      </c>
      <c r="L43" s="19">
        <v>70</v>
      </c>
      <c r="M43" s="19">
        <v>70</v>
      </c>
      <c r="N43" s="19">
        <v>70</v>
      </c>
      <c r="O43" s="19">
        <v>70</v>
      </c>
      <c r="P43" s="19">
        <v>70</v>
      </c>
      <c r="Q43" s="19">
        <v>70</v>
      </c>
      <c r="R43" s="19">
        <v>70</v>
      </c>
      <c r="S43" s="19">
        <v>70</v>
      </c>
      <c r="T43" s="19">
        <v>70</v>
      </c>
      <c r="U43" s="19">
        <v>70</v>
      </c>
      <c r="V43" s="19">
        <v>70</v>
      </c>
      <c r="W43" s="19">
        <v>70</v>
      </c>
      <c r="X43" s="19">
        <v>70</v>
      </c>
      <c r="Y43" s="19">
        <v>70</v>
      </c>
      <c r="Z43" s="19">
        <v>70</v>
      </c>
      <c r="AA43" s="19"/>
      <c r="AB43" s="19"/>
      <c r="AC43" s="19"/>
      <c r="AD43" s="19"/>
      <c r="AE43" s="19"/>
      <c r="AF43" s="19"/>
      <c r="AG43" s="19"/>
      <c r="AH43" s="19"/>
      <c r="AI43" s="19"/>
      <c r="AJ43" s="19"/>
      <c r="AK43" s="19"/>
      <c r="AL43" s="19"/>
      <c r="AM43" s="19"/>
      <c r="AN43" s="19"/>
      <c r="AO43" s="19"/>
      <c r="AP43" s="19"/>
      <c r="AQ43" s="19"/>
      <c r="AR43" s="20"/>
      <c r="AS43" s="14"/>
      <c r="AW43" s="33">
        <v>0</v>
      </c>
      <c r="AY43">
        <v>0</v>
      </c>
    </row>
    <row r="44" spans="2:51" x14ac:dyDescent="0.25">
      <c r="B44" s="106" t="s">
        <v>101</v>
      </c>
      <c r="C44" s="18">
        <v>70</v>
      </c>
      <c r="D44" s="19">
        <v>70</v>
      </c>
      <c r="E44" s="19">
        <v>65</v>
      </c>
      <c r="F44" s="19">
        <v>65</v>
      </c>
      <c r="G44" s="19">
        <v>65</v>
      </c>
      <c r="H44" s="19">
        <v>0</v>
      </c>
      <c r="I44" s="19">
        <v>65</v>
      </c>
      <c r="J44" s="19">
        <v>65</v>
      </c>
      <c r="K44" s="19">
        <v>65</v>
      </c>
      <c r="L44" s="19">
        <v>65</v>
      </c>
      <c r="M44" s="19">
        <v>65</v>
      </c>
      <c r="N44" s="19">
        <v>70</v>
      </c>
      <c r="O44" s="19">
        <v>70</v>
      </c>
      <c r="P44" s="19">
        <v>70</v>
      </c>
      <c r="Q44" s="19">
        <v>65</v>
      </c>
      <c r="R44" s="19">
        <v>70</v>
      </c>
      <c r="S44" s="19">
        <v>70</v>
      </c>
      <c r="T44" s="19">
        <v>70</v>
      </c>
      <c r="U44" s="19">
        <v>65</v>
      </c>
      <c r="V44" s="19">
        <v>65</v>
      </c>
      <c r="W44" s="19">
        <v>65</v>
      </c>
      <c r="X44" s="19">
        <v>65</v>
      </c>
      <c r="Y44" s="19">
        <v>65</v>
      </c>
      <c r="Z44" s="19">
        <v>70</v>
      </c>
      <c r="AA44" s="19"/>
      <c r="AB44" s="19"/>
      <c r="AC44" s="19"/>
      <c r="AD44" s="19"/>
      <c r="AE44" s="19"/>
      <c r="AF44" s="19"/>
      <c r="AG44" s="19"/>
      <c r="AH44" s="19"/>
      <c r="AI44" s="19"/>
      <c r="AJ44" s="19"/>
      <c r="AK44" s="19"/>
      <c r="AL44" s="19"/>
      <c r="AM44" s="19"/>
      <c r="AN44" s="19"/>
      <c r="AO44" s="19"/>
      <c r="AP44" s="19"/>
      <c r="AQ44" s="19"/>
      <c r="AR44" s="20"/>
      <c r="AS44" s="14"/>
      <c r="AW44" s="33">
        <v>0</v>
      </c>
      <c r="AY44">
        <v>0</v>
      </c>
    </row>
    <row r="45" spans="2:51" x14ac:dyDescent="0.25">
      <c r="B45" s="106" t="s">
        <v>102</v>
      </c>
      <c r="C45" s="18">
        <v>75</v>
      </c>
      <c r="D45" s="19">
        <v>75</v>
      </c>
      <c r="E45" s="19">
        <v>72</v>
      </c>
      <c r="F45" s="19">
        <v>72</v>
      </c>
      <c r="G45" s="19">
        <v>72</v>
      </c>
      <c r="H45" s="19">
        <v>0</v>
      </c>
      <c r="I45" s="19">
        <v>72</v>
      </c>
      <c r="J45" s="19">
        <v>72</v>
      </c>
      <c r="K45" s="19">
        <v>72</v>
      </c>
      <c r="L45" s="19">
        <v>72</v>
      </c>
      <c r="M45" s="19">
        <v>72</v>
      </c>
      <c r="N45" s="19">
        <v>75</v>
      </c>
      <c r="O45" s="19">
        <v>75</v>
      </c>
      <c r="P45" s="19">
        <v>75</v>
      </c>
      <c r="Q45" s="19">
        <v>72</v>
      </c>
      <c r="R45" s="19">
        <v>75</v>
      </c>
      <c r="S45" s="19">
        <v>75</v>
      </c>
      <c r="T45" s="19">
        <v>75</v>
      </c>
      <c r="U45" s="19">
        <v>72</v>
      </c>
      <c r="V45" s="19">
        <v>72</v>
      </c>
      <c r="W45" s="19">
        <v>72</v>
      </c>
      <c r="X45" s="19">
        <v>72</v>
      </c>
      <c r="Y45" s="19">
        <v>72</v>
      </c>
      <c r="Z45" s="19">
        <v>72</v>
      </c>
      <c r="AA45" s="19"/>
      <c r="AB45" s="19"/>
      <c r="AC45" s="19"/>
      <c r="AD45" s="19"/>
      <c r="AE45" s="19"/>
      <c r="AF45" s="19"/>
      <c r="AG45" s="19"/>
      <c r="AH45" s="19"/>
      <c r="AI45" s="19"/>
      <c r="AJ45" s="19"/>
      <c r="AK45" s="19"/>
      <c r="AL45" s="19"/>
      <c r="AM45" s="19"/>
      <c r="AN45" s="19"/>
      <c r="AO45" s="19"/>
      <c r="AP45" s="19"/>
      <c r="AQ45" s="19"/>
      <c r="AR45" s="20"/>
      <c r="AS45" s="14"/>
      <c r="AW45" s="33">
        <v>0</v>
      </c>
      <c r="AY45">
        <v>0</v>
      </c>
    </row>
    <row r="46" spans="2:51" x14ac:dyDescent="0.25">
      <c r="B46" s="106" t="s">
        <v>103</v>
      </c>
      <c r="C46" s="18">
        <v>75</v>
      </c>
      <c r="D46" s="19">
        <v>75</v>
      </c>
      <c r="E46" s="19">
        <v>70</v>
      </c>
      <c r="F46" s="19">
        <v>70</v>
      </c>
      <c r="G46" s="19">
        <v>70</v>
      </c>
      <c r="H46" s="19">
        <v>0</v>
      </c>
      <c r="I46" s="19">
        <v>70</v>
      </c>
      <c r="J46" s="19">
        <v>70</v>
      </c>
      <c r="K46" s="19">
        <v>70</v>
      </c>
      <c r="L46" s="19">
        <v>70</v>
      </c>
      <c r="M46" s="19">
        <v>70</v>
      </c>
      <c r="N46" s="19">
        <v>75</v>
      </c>
      <c r="O46" s="19">
        <v>75</v>
      </c>
      <c r="P46" s="19">
        <v>75</v>
      </c>
      <c r="Q46" s="19">
        <v>70</v>
      </c>
      <c r="R46" s="19">
        <v>75</v>
      </c>
      <c r="S46" s="19">
        <v>75</v>
      </c>
      <c r="T46" s="19">
        <v>75</v>
      </c>
      <c r="U46" s="19">
        <v>70</v>
      </c>
      <c r="V46" s="19">
        <v>70</v>
      </c>
      <c r="W46" s="19">
        <v>70</v>
      </c>
      <c r="X46" s="19">
        <v>70</v>
      </c>
      <c r="Y46" s="19">
        <v>70</v>
      </c>
      <c r="Z46" s="19">
        <v>75</v>
      </c>
      <c r="AA46" s="19"/>
      <c r="AB46" s="19"/>
      <c r="AC46" s="19"/>
      <c r="AD46" s="19"/>
      <c r="AE46" s="19"/>
      <c r="AF46" s="19"/>
      <c r="AG46" s="19"/>
      <c r="AH46" s="19"/>
      <c r="AI46" s="19"/>
      <c r="AJ46" s="19"/>
      <c r="AK46" s="19"/>
      <c r="AL46" s="19"/>
      <c r="AM46" s="19"/>
      <c r="AN46" s="19"/>
      <c r="AO46" s="19"/>
      <c r="AP46" s="19"/>
      <c r="AQ46" s="19"/>
      <c r="AR46" s="20"/>
      <c r="AS46" s="14"/>
      <c r="AW46" s="33">
        <v>0</v>
      </c>
      <c r="AY46">
        <v>0</v>
      </c>
    </row>
    <row r="47" spans="2:51" x14ac:dyDescent="0.25">
      <c r="B47" s="161" t="s">
        <v>203</v>
      </c>
      <c r="C47" s="18"/>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20"/>
      <c r="AS47" s="14"/>
      <c r="AT47" s="162"/>
      <c r="AU47" s="162"/>
      <c r="AW47" s="33">
        <v>0</v>
      </c>
      <c r="AY47">
        <v>0</v>
      </c>
    </row>
    <row r="48" spans="2:51" x14ac:dyDescent="0.25">
      <c r="B48" s="106" t="s">
        <v>104</v>
      </c>
      <c r="C48" s="18">
        <v>75</v>
      </c>
      <c r="D48" s="19">
        <v>75</v>
      </c>
      <c r="E48" s="19">
        <v>75</v>
      </c>
      <c r="F48" s="19">
        <v>75</v>
      </c>
      <c r="G48" s="19">
        <v>75</v>
      </c>
      <c r="H48" s="19">
        <v>75</v>
      </c>
      <c r="I48" s="19">
        <v>75</v>
      </c>
      <c r="J48" s="19">
        <v>75</v>
      </c>
      <c r="K48" s="19">
        <v>75</v>
      </c>
      <c r="L48" s="19">
        <v>75</v>
      </c>
      <c r="M48" s="19">
        <v>75</v>
      </c>
      <c r="N48" s="19">
        <v>75</v>
      </c>
      <c r="O48" s="19">
        <v>75</v>
      </c>
      <c r="P48" s="19">
        <v>75</v>
      </c>
      <c r="Q48" s="19">
        <v>75</v>
      </c>
      <c r="R48" s="19">
        <v>75</v>
      </c>
      <c r="S48" s="19">
        <v>75</v>
      </c>
      <c r="T48" s="19">
        <v>75</v>
      </c>
      <c r="U48" s="19">
        <v>75</v>
      </c>
      <c r="V48" s="19">
        <v>75</v>
      </c>
      <c r="W48" s="19">
        <v>75</v>
      </c>
      <c r="X48" s="19">
        <v>75</v>
      </c>
      <c r="Y48" s="19">
        <v>75</v>
      </c>
      <c r="Z48" s="19">
        <v>75</v>
      </c>
      <c r="AA48" s="19"/>
      <c r="AB48" s="19"/>
      <c r="AC48" s="19"/>
      <c r="AD48" s="19"/>
      <c r="AE48" s="19"/>
      <c r="AF48" s="19"/>
      <c r="AG48" s="19"/>
      <c r="AH48" s="19"/>
      <c r="AI48" s="19"/>
      <c r="AJ48" s="19"/>
      <c r="AK48" s="19"/>
      <c r="AL48" s="19"/>
      <c r="AM48" s="19"/>
      <c r="AN48" s="19"/>
      <c r="AO48" s="19"/>
      <c r="AP48" s="19"/>
      <c r="AQ48" s="19"/>
      <c r="AR48" s="20"/>
      <c r="AS48" s="14"/>
      <c r="AW48" s="33">
        <v>0</v>
      </c>
      <c r="AY48">
        <v>0</v>
      </c>
    </row>
    <row r="49" spans="2:51" x14ac:dyDescent="0.25">
      <c r="B49" s="106" t="s">
        <v>58</v>
      </c>
      <c r="C49" s="18">
        <v>85</v>
      </c>
      <c r="D49" s="19">
        <v>85</v>
      </c>
      <c r="E49" s="19">
        <v>84</v>
      </c>
      <c r="F49" s="19">
        <v>84</v>
      </c>
      <c r="G49" s="19">
        <v>84</v>
      </c>
      <c r="H49" s="19">
        <v>0</v>
      </c>
      <c r="I49" s="19">
        <v>84</v>
      </c>
      <c r="J49" s="19">
        <v>84</v>
      </c>
      <c r="K49" s="19">
        <v>84</v>
      </c>
      <c r="L49" s="19">
        <v>84</v>
      </c>
      <c r="M49" s="19">
        <v>84</v>
      </c>
      <c r="N49" s="19">
        <v>85</v>
      </c>
      <c r="O49" s="19">
        <v>85</v>
      </c>
      <c r="P49" s="19">
        <v>85</v>
      </c>
      <c r="Q49" s="19">
        <v>84</v>
      </c>
      <c r="R49" s="19">
        <v>85</v>
      </c>
      <c r="S49" s="19">
        <v>85</v>
      </c>
      <c r="T49" s="19">
        <v>85</v>
      </c>
      <c r="U49" s="19">
        <v>84</v>
      </c>
      <c r="V49" s="19">
        <v>84</v>
      </c>
      <c r="W49" s="19">
        <v>84</v>
      </c>
      <c r="X49" s="19">
        <v>84</v>
      </c>
      <c r="Y49" s="19">
        <v>84</v>
      </c>
      <c r="Z49" s="19">
        <v>84</v>
      </c>
      <c r="AA49" s="19"/>
      <c r="AB49" s="19"/>
      <c r="AC49" s="19"/>
      <c r="AD49" s="19"/>
      <c r="AE49" s="19"/>
      <c r="AF49" s="19"/>
      <c r="AG49" s="19"/>
      <c r="AH49" s="19"/>
      <c r="AI49" s="19"/>
      <c r="AJ49" s="19"/>
      <c r="AK49" s="19"/>
      <c r="AL49" s="19"/>
      <c r="AM49" s="19"/>
      <c r="AN49" s="19"/>
      <c r="AO49" s="19"/>
      <c r="AP49" s="19"/>
      <c r="AQ49" s="19"/>
      <c r="AR49" s="20"/>
      <c r="AS49" s="14"/>
      <c r="AW49" s="33">
        <v>0</v>
      </c>
      <c r="AY49">
        <v>0</v>
      </c>
    </row>
    <row r="50" spans="2:51" x14ac:dyDescent="0.25">
      <c r="B50" s="106" t="s">
        <v>105</v>
      </c>
      <c r="C50" s="18">
        <v>75</v>
      </c>
      <c r="D50" s="19">
        <v>75</v>
      </c>
      <c r="E50" s="19">
        <v>75</v>
      </c>
      <c r="F50" s="19">
        <v>75</v>
      </c>
      <c r="G50" s="19">
        <v>75</v>
      </c>
      <c r="H50" s="19">
        <v>0</v>
      </c>
      <c r="I50" s="19">
        <v>75</v>
      </c>
      <c r="J50" s="19">
        <v>75</v>
      </c>
      <c r="K50" s="19">
        <v>75</v>
      </c>
      <c r="L50" s="19">
        <v>75</v>
      </c>
      <c r="M50" s="19">
        <v>75</v>
      </c>
      <c r="N50" s="19">
        <v>75</v>
      </c>
      <c r="O50" s="19">
        <v>75</v>
      </c>
      <c r="P50" s="19">
        <v>75</v>
      </c>
      <c r="Q50" s="19">
        <v>75</v>
      </c>
      <c r="R50" s="19">
        <v>75</v>
      </c>
      <c r="S50" s="19">
        <v>75</v>
      </c>
      <c r="T50" s="19">
        <v>75</v>
      </c>
      <c r="U50" s="19">
        <v>75</v>
      </c>
      <c r="V50" s="19">
        <v>75</v>
      </c>
      <c r="W50" s="19">
        <v>75</v>
      </c>
      <c r="X50" s="19">
        <v>75</v>
      </c>
      <c r="Y50" s="19">
        <v>75</v>
      </c>
      <c r="Z50" s="19">
        <v>75</v>
      </c>
      <c r="AA50" s="19"/>
      <c r="AB50" s="19"/>
      <c r="AC50" s="19"/>
      <c r="AD50" s="19"/>
      <c r="AE50" s="19"/>
      <c r="AF50" s="19"/>
      <c r="AG50" s="19"/>
      <c r="AH50" s="19"/>
      <c r="AI50" s="19"/>
      <c r="AJ50" s="19"/>
      <c r="AK50" s="19"/>
      <c r="AL50" s="19"/>
      <c r="AM50" s="19"/>
      <c r="AN50" s="19"/>
      <c r="AO50" s="19"/>
      <c r="AP50" s="19"/>
      <c r="AQ50" s="19"/>
      <c r="AR50" s="20"/>
      <c r="AS50" s="14"/>
      <c r="AW50" s="33">
        <v>0</v>
      </c>
      <c r="AY50">
        <v>0</v>
      </c>
    </row>
    <row r="51" spans="2:51" x14ac:dyDescent="0.25">
      <c r="B51" s="106" t="s">
        <v>106</v>
      </c>
      <c r="C51" s="18">
        <v>70</v>
      </c>
      <c r="D51" s="19">
        <v>70</v>
      </c>
      <c r="E51" s="19">
        <v>70</v>
      </c>
      <c r="F51" s="19">
        <v>70</v>
      </c>
      <c r="G51" s="19">
        <v>70</v>
      </c>
      <c r="H51" s="19">
        <v>0</v>
      </c>
      <c r="I51" s="19">
        <v>70</v>
      </c>
      <c r="J51" s="19">
        <v>70</v>
      </c>
      <c r="K51" s="19">
        <v>70</v>
      </c>
      <c r="L51" s="19">
        <v>70</v>
      </c>
      <c r="M51" s="19">
        <v>70</v>
      </c>
      <c r="N51" s="19">
        <v>70</v>
      </c>
      <c r="O51" s="19">
        <v>70</v>
      </c>
      <c r="P51" s="19">
        <v>70</v>
      </c>
      <c r="Q51" s="19">
        <v>70</v>
      </c>
      <c r="R51" s="19">
        <v>70</v>
      </c>
      <c r="S51" s="19">
        <v>70</v>
      </c>
      <c r="T51" s="19">
        <v>70</v>
      </c>
      <c r="U51" s="19">
        <v>70</v>
      </c>
      <c r="V51" s="19">
        <v>70</v>
      </c>
      <c r="W51" s="19">
        <v>70</v>
      </c>
      <c r="X51" s="19">
        <v>70</v>
      </c>
      <c r="Y51" s="19">
        <v>70</v>
      </c>
      <c r="Z51" s="19">
        <v>70</v>
      </c>
      <c r="AA51" s="19"/>
      <c r="AB51" s="19"/>
      <c r="AC51" s="19"/>
      <c r="AD51" s="19"/>
      <c r="AE51" s="19"/>
      <c r="AF51" s="19"/>
      <c r="AG51" s="19"/>
      <c r="AH51" s="19"/>
      <c r="AI51" s="19"/>
      <c r="AJ51" s="19"/>
      <c r="AK51" s="19"/>
      <c r="AL51" s="19"/>
      <c r="AM51" s="19"/>
      <c r="AN51" s="19"/>
      <c r="AO51" s="19"/>
      <c r="AP51" s="19"/>
      <c r="AQ51" s="19"/>
      <c r="AR51" s="20"/>
      <c r="AS51" s="14"/>
      <c r="AW51" s="33">
        <v>0</v>
      </c>
      <c r="AY51">
        <v>0</v>
      </c>
    </row>
    <row r="52" spans="2:51" x14ac:dyDescent="0.25">
      <c r="B52" s="106" t="s">
        <v>107</v>
      </c>
      <c r="C52" s="18">
        <v>85</v>
      </c>
      <c r="D52" s="19">
        <v>85</v>
      </c>
      <c r="E52" s="19">
        <v>84</v>
      </c>
      <c r="F52" s="19">
        <v>84</v>
      </c>
      <c r="G52" s="19">
        <v>84</v>
      </c>
      <c r="H52" s="19">
        <v>0</v>
      </c>
      <c r="I52" s="19">
        <v>84</v>
      </c>
      <c r="J52" s="19">
        <v>84</v>
      </c>
      <c r="K52" s="19">
        <v>84</v>
      </c>
      <c r="L52" s="19">
        <v>84</v>
      </c>
      <c r="M52" s="19">
        <v>84</v>
      </c>
      <c r="N52" s="19">
        <v>85</v>
      </c>
      <c r="O52" s="19">
        <v>85</v>
      </c>
      <c r="P52" s="19">
        <v>85</v>
      </c>
      <c r="Q52" s="19">
        <v>84</v>
      </c>
      <c r="R52" s="19">
        <v>85</v>
      </c>
      <c r="S52" s="19">
        <v>85</v>
      </c>
      <c r="T52" s="19">
        <v>85</v>
      </c>
      <c r="U52" s="19">
        <v>84</v>
      </c>
      <c r="V52" s="19">
        <v>84</v>
      </c>
      <c r="W52" s="19">
        <v>84</v>
      </c>
      <c r="X52" s="19">
        <v>84</v>
      </c>
      <c r="Y52" s="19">
        <v>84</v>
      </c>
      <c r="Z52" s="19">
        <v>85</v>
      </c>
      <c r="AA52" s="19"/>
      <c r="AB52" s="19"/>
      <c r="AC52" s="19"/>
      <c r="AD52" s="19"/>
      <c r="AE52" s="19"/>
      <c r="AF52" s="19"/>
      <c r="AG52" s="19"/>
      <c r="AH52" s="19"/>
      <c r="AI52" s="19"/>
      <c r="AJ52" s="19"/>
      <c r="AK52" s="19"/>
      <c r="AL52" s="19"/>
      <c r="AM52" s="19"/>
      <c r="AN52" s="19"/>
      <c r="AO52" s="19"/>
      <c r="AP52" s="19"/>
      <c r="AQ52" s="19"/>
      <c r="AR52" s="20"/>
      <c r="AS52" s="14"/>
      <c r="AW52" s="33">
        <v>0</v>
      </c>
      <c r="AY52">
        <v>0</v>
      </c>
    </row>
    <row r="53" spans="2:51" x14ac:dyDescent="0.25">
      <c r="B53" s="106" t="s">
        <v>108</v>
      </c>
      <c r="C53" s="18">
        <v>75</v>
      </c>
      <c r="D53" s="19">
        <v>75</v>
      </c>
      <c r="E53" s="19">
        <v>75</v>
      </c>
      <c r="F53" s="19">
        <v>75</v>
      </c>
      <c r="G53" s="19">
        <v>75</v>
      </c>
      <c r="H53" s="19">
        <v>0</v>
      </c>
      <c r="I53" s="19">
        <v>75</v>
      </c>
      <c r="J53" s="19">
        <v>75</v>
      </c>
      <c r="K53" s="19">
        <v>75</v>
      </c>
      <c r="L53" s="19">
        <v>75</v>
      </c>
      <c r="M53" s="19">
        <v>75</v>
      </c>
      <c r="N53" s="19">
        <v>75</v>
      </c>
      <c r="O53" s="19">
        <v>75</v>
      </c>
      <c r="P53" s="19">
        <v>75</v>
      </c>
      <c r="Q53" s="19">
        <v>75</v>
      </c>
      <c r="R53" s="19">
        <v>75</v>
      </c>
      <c r="S53" s="19">
        <v>75</v>
      </c>
      <c r="T53" s="19">
        <v>75</v>
      </c>
      <c r="U53" s="19">
        <v>75</v>
      </c>
      <c r="V53" s="19">
        <v>75</v>
      </c>
      <c r="W53" s="19">
        <v>75</v>
      </c>
      <c r="X53" s="19">
        <v>75</v>
      </c>
      <c r="Y53" s="19">
        <v>75</v>
      </c>
      <c r="Z53" s="19">
        <v>75</v>
      </c>
      <c r="AA53" s="19"/>
      <c r="AB53" s="19"/>
      <c r="AC53" s="19"/>
      <c r="AD53" s="19"/>
      <c r="AE53" s="19"/>
      <c r="AF53" s="19"/>
      <c r="AG53" s="19"/>
      <c r="AH53" s="19"/>
      <c r="AI53" s="19"/>
      <c r="AJ53" s="19"/>
      <c r="AK53" s="19"/>
      <c r="AL53" s="19"/>
      <c r="AM53" s="19"/>
      <c r="AN53" s="19"/>
      <c r="AO53" s="19"/>
      <c r="AP53" s="19"/>
      <c r="AQ53" s="19"/>
      <c r="AR53" s="20"/>
      <c r="AS53" s="14"/>
      <c r="AW53" s="33">
        <v>0</v>
      </c>
      <c r="AY53">
        <v>0</v>
      </c>
    </row>
    <row r="54" spans="2:51" x14ac:dyDescent="0.25">
      <c r="B54" s="106" t="s">
        <v>109</v>
      </c>
      <c r="C54" s="18">
        <v>85</v>
      </c>
      <c r="D54" s="19">
        <v>85</v>
      </c>
      <c r="E54" s="19">
        <v>84</v>
      </c>
      <c r="F54" s="19">
        <v>84</v>
      </c>
      <c r="G54" s="19">
        <v>84</v>
      </c>
      <c r="H54" s="19">
        <v>0</v>
      </c>
      <c r="I54" s="19">
        <v>84</v>
      </c>
      <c r="J54" s="19">
        <v>84</v>
      </c>
      <c r="K54" s="19">
        <v>84</v>
      </c>
      <c r="L54" s="19">
        <v>84</v>
      </c>
      <c r="M54" s="19">
        <v>84</v>
      </c>
      <c r="N54" s="19">
        <v>85</v>
      </c>
      <c r="O54" s="19">
        <v>85</v>
      </c>
      <c r="P54" s="19">
        <v>85</v>
      </c>
      <c r="Q54" s="19">
        <v>84</v>
      </c>
      <c r="R54" s="19">
        <v>85</v>
      </c>
      <c r="S54" s="19">
        <v>85</v>
      </c>
      <c r="T54" s="19">
        <v>85</v>
      </c>
      <c r="U54" s="19">
        <v>84</v>
      </c>
      <c r="V54" s="19">
        <v>84</v>
      </c>
      <c r="W54" s="19">
        <v>84</v>
      </c>
      <c r="X54" s="19">
        <v>84</v>
      </c>
      <c r="Y54" s="19">
        <v>84</v>
      </c>
      <c r="Z54" s="19">
        <v>85</v>
      </c>
      <c r="AA54" s="19"/>
      <c r="AB54" s="19"/>
      <c r="AC54" s="19"/>
      <c r="AD54" s="19"/>
      <c r="AE54" s="19"/>
      <c r="AF54" s="19"/>
      <c r="AG54" s="19"/>
      <c r="AH54" s="19"/>
      <c r="AI54" s="19"/>
      <c r="AJ54" s="19"/>
      <c r="AK54" s="19"/>
      <c r="AL54" s="19"/>
      <c r="AM54" s="19"/>
      <c r="AN54" s="19"/>
      <c r="AO54" s="19"/>
      <c r="AP54" s="19"/>
      <c r="AQ54" s="19"/>
      <c r="AR54" s="20"/>
      <c r="AS54" s="14"/>
      <c r="AW54" s="33">
        <v>0</v>
      </c>
      <c r="AY54">
        <v>0</v>
      </c>
    </row>
    <row r="55" spans="2:51" s="131" customFormat="1" x14ac:dyDescent="0.25">
      <c r="B55" s="126" t="s">
        <v>110</v>
      </c>
      <c r="C55" s="127">
        <v>75</v>
      </c>
      <c r="D55" s="128">
        <v>75</v>
      </c>
      <c r="E55" s="128">
        <v>75</v>
      </c>
      <c r="F55" s="128">
        <v>75</v>
      </c>
      <c r="G55" s="128">
        <v>75</v>
      </c>
      <c r="H55" s="128">
        <v>0</v>
      </c>
      <c r="I55" s="128">
        <v>75</v>
      </c>
      <c r="J55" s="128">
        <v>75</v>
      </c>
      <c r="K55" s="128">
        <v>75</v>
      </c>
      <c r="L55" s="128">
        <v>75</v>
      </c>
      <c r="M55" s="128">
        <v>75</v>
      </c>
      <c r="N55" s="128">
        <v>75</v>
      </c>
      <c r="O55" s="128">
        <v>75</v>
      </c>
      <c r="P55" s="128">
        <v>75</v>
      </c>
      <c r="Q55" s="128">
        <v>75</v>
      </c>
      <c r="R55" s="128">
        <v>75</v>
      </c>
      <c r="S55" s="128">
        <v>75</v>
      </c>
      <c r="T55" s="128">
        <v>75</v>
      </c>
      <c r="U55" s="128">
        <v>75</v>
      </c>
      <c r="V55" s="128">
        <v>75</v>
      </c>
      <c r="W55" s="128">
        <v>75</v>
      </c>
      <c r="X55" s="128">
        <v>75</v>
      </c>
      <c r="Y55" s="128">
        <v>75</v>
      </c>
      <c r="Z55" s="128">
        <v>75</v>
      </c>
      <c r="AA55" s="128"/>
      <c r="AB55" s="128"/>
      <c r="AC55" s="128"/>
      <c r="AD55" s="128"/>
      <c r="AE55" s="128"/>
      <c r="AF55" s="128"/>
      <c r="AG55" s="128"/>
      <c r="AH55" s="128"/>
      <c r="AI55" s="128"/>
      <c r="AJ55" s="128"/>
      <c r="AK55" s="128"/>
      <c r="AL55" s="128"/>
      <c r="AM55" s="128"/>
      <c r="AN55" s="128"/>
      <c r="AO55" s="128"/>
      <c r="AP55" s="128"/>
      <c r="AQ55" s="128"/>
      <c r="AR55" s="129"/>
      <c r="AS55" s="130"/>
      <c r="AU55" s="130"/>
      <c r="AW55" s="132">
        <v>0</v>
      </c>
      <c r="AX55" s="132"/>
      <c r="AY55" s="131">
        <v>0</v>
      </c>
    </row>
    <row r="56" spans="2:51" x14ac:dyDescent="0.25">
      <c r="B56" s="106" t="s">
        <v>50</v>
      </c>
      <c r="C56" s="18">
        <v>67</v>
      </c>
      <c r="D56" s="19">
        <v>67</v>
      </c>
      <c r="E56" s="19">
        <v>63</v>
      </c>
      <c r="F56" s="19">
        <v>63</v>
      </c>
      <c r="G56" s="19">
        <v>63</v>
      </c>
      <c r="H56" s="19">
        <v>0</v>
      </c>
      <c r="I56" s="19">
        <v>63</v>
      </c>
      <c r="J56" s="19">
        <v>63</v>
      </c>
      <c r="K56" s="19">
        <v>63</v>
      </c>
      <c r="L56" s="19">
        <v>63</v>
      </c>
      <c r="M56" s="19">
        <v>63</v>
      </c>
      <c r="N56" s="19">
        <v>67</v>
      </c>
      <c r="O56" s="19">
        <v>67</v>
      </c>
      <c r="P56" s="19">
        <v>65</v>
      </c>
      <c r="Q56" s="19">
        <v>63</v>
      </c>
      <c r="R56" s="19">
        <v>67</v>
      </c>
      <c r="S56" s="19">
        <v>67</v>
      </c>
      <c r="T56" s="19">
        <v>65</v>
      </c>
      <c r="U56" s="19">
        <v>63</v>
      </c>
      <c r="V56" s="19">
        <v>63</v>
      </c>
      <c r="W56" s="19">
        <v>63</v>
      </c>
      <c r="X56" s="19">
        <v>63</v>
      </c>
      <c r="Y56" s="19">
        <v>63</v>
      </c>
      <c r="Z56" s="19">
        <v>65</v>
      </c>
      <c r="AA56" s="19"/>
      <c r="AB56" s="19"/>
      <c r="AC56" s="19"/>
      <c r="AD56" s="19"/>
      <c r="AE56" s="19"/>
      <c r="AF56" s="19"/>
      <c r="AG56" s="19"/>
      <c r="AH56" s="19"/>
      <c r="AI56" s="19"/>
      <c r="AJ56" s="19"/>
      <c r="AK56" s="19"/>
      <c r="AL56" s="19"/>
      <c r="AM56" s="19"/>
      <c r="AN56" s="19"/>
      <c r="AO56" s="19"/>
      <c r="AP56" s="19"/>
      <c r="AQ56" s="19"/>
      <c r="AR56" s="20"/>
      <c r="AS56" s="14"/>
      <c r="AW56" s="33">
        <v>0</v>
      </c>
      <c r="AY56">
        <v>0</v>
      </c>
    </row>
    <row r="57" spans="2:51" x14ac:dyDescent="0.25">
      <c r="B57" s="106" t="s">
        <v>37</v>
      </c>
      <c r="C57" s="18">
        <v>75</v>
      </c>
      <c r="D57" s="19">
        <v>75</v>
      </c>
      <c r="E57" s="19">
        <v>73</v>
      </c>
      <c r="F57" s="19">
        <v>73</v>
      </c>
      <c r="G57" s="19">
        <v>73</v>
      </c>
      <c r="H57" s="19">
        <v>0</v>
      </c>
      <c r="I57" s="19">
        <v>73</v>
      </c>
      <c r="J57" s="19">
        <v>73</v>
      </c>
      <c r="K57" s="19">
        <v>73</v>
      </c>
      <c r="L57" s="19">
        <v>73</v>
      </c>
      <c r="M57" s="19">
        <v>73</v>
      </c>
      <c r="N57" s="19">
        <v>75</v>
      </c>
      <c r="O57" s="19">
        <v>75</v>
      </c>
      <c r="P57" s="19">
        <v>75</v>
      </c>
      <c r="Q57" s="19">
        <v>73</v>
      </c>
      <c r="R57" s="19">
        <v>75</v>
      </c>
      <c r="S57" s="19">
        <v>75</v>
      </c>
      <c r="T57" s="19">
        <v>75</v>
      </c>
      <c r="U57" s="19">
        <v>73</v>
      </c>
      <c r="V57" s="19">
        <v>72</v>
      </c>
      <c r="W57" s="19">
        <v>73</v>
      </c>
      <c r="X57" s="19">
        <v>73</v>
      </c>
      <c r="Y57" s="19">
        <v>73</v>
      </c>
      <c r="Z57" s="19">
        <v>75</v>
      </c>
      <c r="AA57" s="19"/>
      <c r="AB57" s="19"/>
      <c r="AC57" s="19"/>
      <c r="AD57" s="19"/>
      <c r="AE57" s="19"/>
      <c r="AF57" s="19"/>
      <c r="AG57" s="19"/>
      <c r="AH57" s="19"/>
      <c r="AI57" s="19"/>
      <c r="AJ57" s="19"/>
      <c r="AK57" s="19"/>
      <c r="AL57" s="19"/>
      <c r="AM57" s="19"/>
      <c r="AN57" s="19"/>
      <c r="AO57" s="19"/>
      <c r="AP57" s="19"/>
      <c r="AQ57" s="19"/>
      <c r="AR57" s="20"/>
      <c r="AS57" s="14"/>
      <c r="AW57" s="33">
        <v>0</v>
      </c>
      <c r="AY57">
        <v>0</v>
      </c>
    </row>
    <row r="58" spans="2:51" x14ac:dyDescent="0.25">
      <c r="B58" s="106" t="s">
        <v>111</v>
      </c>
      <c r="C58" s="18">
        <v>60</v>
      </c>
      <c r="D58" s="19">
        <v>60</v>
      </c>
      <c r="E58" s="19">
        <v>58</v>
      </c>
      <c r="F58" s="19">
        <v>58</v>
      </c>
      <c r="G58" s="19">
        <v>58</v>
      </c>
      <c r="H58" s="19">
        <v>0</v>
      </c>
      <c r="I58" s="19">
        <v>58</v>
      </c>
      <c r="J58" s="19">
        <v>58</v>
      </c>
      <c r="K58" s="19">
        <v>58</v>
      </c>
      <c r="L58" s="19">
        <v>58</v>
      </c>
      <c r="M58" s="19">
        <v>58</v>
      </c>
      <c r="N58" s="19">
        <v>60</v>
      </c>
      <c r="O58" s="19">
        <v>60</v>
      </c>
      <c r="P58" s="19">
        <v>60</v>
      </c>
      <c r="Q58" s="19">
        <v>58</v>
      </c>
      <c r="R58" s="19">
        <v>60</v>
      </c>
      <c r="S58" s="19">
        <v>60</v>
      </c>
      <c r="T58" s="19">
        <v>60</v>
      </c>
      <c r="U58" s="19">
        <v>58</v>
      </c>
      <c r="V58" s="19">
        <v>58</v>
      </c>
      <c r="W58" s="19">
        <v>58</v>
      </c>
      <c r="X58" s="19">
        <v>58</v>
      </c>
      <c r="Y58" s="19">
        <v>58</v>
      </c>
      <c r="Z58" s="19">
        <v>60</v>
      </c>
      <c r="AA58" s="19"/>
      <c r="AB58" s="19"/>
      <c r="AC58" s="19"/>
      <c r="AD58" s="19"/>
      <c r="AE58" s="19"/>
      <c r="AF58" s="19"/>
      <c r="AG58" s="19"/>
      <c r="AH58" s="19"/>
      <c r="AI58" s="19"/>
      <c r="AJ58" s="19"/>
      <c r="AK58" s="19"/>
      <c r="AL58" s="19"/>
      <c r="AM58" s="19"/>
      <c r="AN58" s="19"/>
      <c r="AO58" s="19"/>
      <c r="AP58" s="19"/>
      <c r="AQ58" s="19"/>
      <c r="AR58" s="20"/>
      <c r="AS58" s="14"/>
      <c r="AW58" s="33">
        <v>0</v>
      </c>
      <c r="AY58">
        <v>0</v>
      </c>
    </row>
    <row r="59" spans="2:51" x14ac:dyDescent="0.25">
      <c r="B59" s="106" t="s">
        <v>51</v>
      </c>
      <c r="C59" s="18">
        <v>65</v>
      </c>
      <c r="D59" s="19">
        <v>65</v>
      </c>
      <c r="E59" s="19">
        <v>62</v>
      </c>
      <c r="F59" s="19">
        <v>62</v>
      </c>
      <c r="G59" s="19">
        <v>62</v>
      </c>
      <c r="H59" s="19">
        <v>0</v>
      </c>
      <c r="I59" s="19">
        <v>62</v>
      </c>
      <c r="J59" s="19">
        <v>62</v>
      </c>
      <c r="K59" s="19">
        <v>62</v>
      </c>
      <c r="L59" s="19">
        <v>62</v>
      </c>
      <c r="M59" s="19">
        <v>62</v>
      </c>
      <c r="N59" s="19">
        <v>65</v>
      </c>
      <c r="O59" s="19">
        <v>65</v>
      </c>
      <c r="P59" s="19">
        <v>65</v>
      </c>
      <c r="Q59" s="19">
        <v>62</v>
      </c>
      <c r="R59" s="19">
        <v>65</v>
      </c>
      <c r="S59" s="19">
        <v>65</v>
      </c>
      <c r="T59" s="19">
        <v>65</v>
      </c>
      <c r="U59" s="19">
        <v>62</v>
      </c>
      <c r="V59" s="19">
        <v>62</v>
      </c>
      <c r="W59" s="19">
        <v>62</v>
      </c>
      <c r="X59" s="19">
        <v>62</v>
      </c>
      <c r="Y59" s="19">
        <v>62</v>
      </c>
      <c r="Z59" s="19">
        <v>65</v>
      </c>
      <c r="AA59" s="19"/>
      <c r="AB59" s="19"/>
      <c r="AC59" s="19"/>
      <c r="AD59" s="19"/>
      <c r="AE59" s="19"/>
      <c r="AF59" s="19"/>
      <c r="AG59" s="19"/>
      <c r="AH59" s="19"/>
      <c r="AI59" s="19"/>
      <c r="AJ59" s="19"/>
      <c r="AK59" s="19"/>
      <c r="AL59" s="19"/>
      <c r="AM59" s="19"/>
      <c r="AN59" s="19"/>
      <c r="AO59" s="19"/>
      <c r="AP59" s="19"/>
      <c r="AQ59" s="19"/>
      <c r="AR59" s="20"/>
      <c r="AS59" s="14"/>
      <c r="AW59" s="33">
        <v>0</v>
      </c>
      <c r="AY59">
        <v>0</v>
      </c>
    </row>
    <row r="60" spans="2:51" x14ac:dyDescent="0.25">
      <c r="B60" s="106" t="s">
        <v>112</v>
      </c>
      <c r="C60" s="18">
        <v>125</v>
      </c>
      <c r="D60" s="19">
        <v>125</v>
      </c>
      <c r="E60" s="19">
        <v>120</v>
      </c>
      <c r="F60" s="19">
        <v>120</v>
      </c>
      <c r="G60" s="19">
        <v>120</v>
      </c>
      <c r="H60" s="19">
        <v>0</v>
      </c>
      <c r="I60" s="19">
        <v>120</v>
      </c>
      <c r="J60" s="19">
        <v>120</v>
      </c>
      <c r="K60" s="19">
        <v>120</v>
      </c>
      <c r="L60" s="19">
        <v>120</v>
      </c>
      <c r="M60" s="19">
        <v>120</v>
      </c>
      <c r="N60" s="19">
        <v>125</v>
      </c>
      <c r="O60" s="19">
        <v>125</v>
      </c>
      <c r="P60" s="19">
        <v>125</v>
      </c>
      <c r="Q60" s="19">
        <v>120</v>
      </c>
      <c r="R60" s="19">
        <v>125</v>
      </c>
      <c r="S60" s="19">
        <v>125</v>
      </c>
      <c r="T60" s="19">
        <v>125</v>
      </c>
      <c r="U60" s="19">
        <v>120</v>
      </c>
      <c r="V60" s="19">
        <v>120</v>
      </c>
      <c r="W60" s="19">
        <v>120</v>
      </c>
      <c r="X60" s="19">
        <v>120</v>
      </c>
      <c r="Y60" s="19">
        <v>120</v>
      </c>
      <c r="Z60" s="19">
        <v>120</v>
      </c>
      <c r="AA60" s="19"/>
      <c r="AB60" s="19"/>
      <c r="AC60" s="19"/>
      <c r="AD60" s="19"/>
      <c r="AE60" s="19"/>
      <c r="AF60" s="19"/>
      <c r="AG60" s="19"/>
      <c r="AH60" s="19"/>
      <c r="AI60" s="19"/>
      <c r="AJ60" s="19"/>
      <c r="AK60" s="19"/>
      <c r="AL60" s="19"/>
      <c r="AM60" s="19"/>
      <c r="AN60" s="19"/>
      <c r="AO60" s="19"/>
      <c r="AP60" s="19"/>
      <c r="AQ60" s="19"/>
      <c r="AR60" s="20"/>
      <c r="AS60" s="14"/>
      <c r="AW60" s="33">
        <v>0</v>
      </c>
      <c r="AY60">
        <v>0</v>
      </c>
    </row>
    <row r="61" spans="2:51" x14ac:dyDescent="0.25">
      <c r="B61" s="106" t="s">
        <v>49</v>
      </c>
      <c r="C61" s="18">
        <v>67</v>
      </c>
      <c r="D61" s="19">
        <v>67</v>
      </c>
      <c r="E61" s="19">
        <v>63</v>
      </c>
      <c r="F61" s="19">
        <v>63</v>
      </c>
      <c r="G61" s="19">
        <v>63</v>
      </c>
      <c r="H61" s="19">
        <v>0</v>
      </c>
      <c r="I61" s="19">
        <v>63</v>
      </c>
      <c r="J61" s="19">
        <v>63</v>
      </c>
      <c r="K61" s="19">
        <v>63</v>
      </c>
      <c r="L61" s="19">
        <v>63</v>
      </c>
      <c r="M61" s="19">
        <v>63</v>
      </c>
      <c r="N61" s="19">
        <v>67</v>
      </c>
      <c r="O61" s="19">
        <v>67</v>
      </c>
      <c r="P61" s="19">
        <v>65</v>
      </c>
      <c r="Q61" s="19">
        <v>63</v>
      </c>
      <c r="R61" s="19">
        <v>67</v>
      </c>
      <c r="S61" s="19">
        <v>67</v>
      </c>
      <c r="T61" s="19">
        <v>65</v>
      </c>
      <c r="U61" s="19">
        <v>63</v>
      </c>
      <c r="V61" s="19">
        <v>63</v>
      </c>
      <c r="W61" s="19">
        <v>63</v>
      </c>
      <c r="X61" s="19">
        <v>63</v>
      </c>
      <c r="Y61" s="19">
        <v>63</v>
      </c>
      <c r="Z61" s="19">
        <v>65</v>
      </c>
      <c r="AA61" s="19"/>
      <c r="AB61" s="19"/>
      <c r="AC61" s="19"/>
      <c r="AD61" s="19"/>
      <c r="AE61" s="19"/>
      <c r="AF61" s="19"/>
      <c r="AG61" s="19"/>
      <c r="AH61" s="19"/>
      <c r="AI61" s="19"/>
      <c r="AJ61" s="19"/>
      <c r="AK61" s="19"/>
      <c r="AL61" s="19"/>
      <c r="AM61" s="19"/>
      <c r="AN61" s="19"/>
      <c r="AO61" s="19"/>
      <c r="AP61" s="19"/>
      <c r="AQ61" s="19"/>
      <c r="AR61" s="20"/>
      <c r="AS61" s="14"/>
      <c r="AW61" s="33">
        <v>0</v>
      </c>
      <c r="AY61">
        <v>0</v>
      </c>
    </row>
    <row r="62" spans="2:51" x14ac:dyDescent="0.25">
      <c r="B62" s="106" t="s">
        <v>113</v>
      </c>
      <c r="C62" s="18">
        <v>125</v>
      </c>
      <c r="D62" s="19">
        <v>125</v>
      </c>
      <c r="E62" s="19">
        <v>120</v>
      </c>
      <c r="F62" s="19">
        <v>120</v>
      </c>
      <c r="G62" s="19">
        <v>120</v>
      </c>
      <c r="H62" s="19">
        <v>0</v>
      </c>
      <c r="I62" s="19">
        <v>120</v>
      </c>
      <c r="J62" s="19">
        <v>120</v>
      </c>
      <c r="K62" s="19">
        <v>120</v>
      </c>
      <c r="L62" s="19">
        <v>120</v>
      </c>
      <c r="M62" s="19">
        <v>120</v>
      </c>
      <c r="N62" s="19">
        <v>125</v>
      </c>
      <c r="O62" s="19">
        <v>125</v>
      </c>
      <c r="P62" s="19">
        <v>125</v>
      </c>
      <c r="Q62" s="19">
        <v>120</v>
      </c>
      <c r="R62" s="19">
        <v>125</v>
      </c>
      <c r="S62" s="19">
        <v>125</v>
      </c>
      <c r="T62" s="19">
        <v>125</v>
      </c>
      <c r="U62" s="19">
        <v>120</v>
      </c>
      <c r="V62" s="19">
        <v>120</v>
      </c>
      <c r="W62" s="19">
        <v>120</v>
      </c>
      <c r="X62" s="19">
        <v>120</v>
      </c>
      <c r="Y62" s="19">
        <v>120</v>
      </c>
      <c r="Z62" s="19">
        <v>120</v>
      </c>
      <c r="AA62" s="19"/>
      <c r="AB62" s="19"/>
      <c r="AC62" s="19"/>
      <c r="AD62" s="19"/>
      <c r="AE62" s="19"/>
      <c r="AF62" s="19"/>
      <c r="AG62" s="19"/>
      <c r="AH62" s="19"/>
      <c r="AI62" s="19"/>
      <c r="AJ62" s="19"/>
      <c r="AK62" s="19"/>
      <c r="AL62" s="19"/>
      <c r="AM62" s="19"/>
      <c r="AN62" s="19"/>
      <c r="AO62" s="19"/>
      <c r="AP62" s="19"/>
      <c r="AQ62" s="19"/>
      <c r="AR62" s="20"/>
      <c r="AS62" s="14"/>
      <c r="AW62" s="33">
        <v>0</v>
      </c>
      <c r="AY62">
        <v>0</v>
      </c>
    </row>
    <row r="63" spans="2:51" x14ac:dyDescent="0.25">
      <c r="B63" s="106" t="s">
        <v>52</v>
      </c>
      <c r="C63" s="18">
        <v>75</v>
      </c>
      <c r="D63" s="19">
        <v>75</v>
      </c>
      <c r="E63" s="19">
        <v>75</v>
      </c>
      <c r="F63" s="19">
        <v>75</v>
      </c>
      <c r="G63" s="19">
        <v>75</v>
      </c>
      <c r="H63" s="19">
        <v>0</v>
      </c>
      <c r="I63" s="19">
        <v>75</v>
      </c>
      <c r="J63" s="19">
        <v>75</v>
      </c>
      <c r="K63" s="19">
        <v>75</v>
      </c>
      <c r="L63" s="19">
        <v>75</v>
      </c>
      <c r="M63" s="19">
        <v>75</v>
      </c>
      <c r="N63" s="19">
        <v>75</v>
      </c>
      <c r="O63" s="19">
        <v>75</v>
      </c>
      <c r="P63" s="19">
        <v>75</v>
      </c>
      <c r="Q63" s="19">
        <v>75</v>
      </c>
      <c r="R63" s="19">
        <v>75</v>
      </c>
      <c r="S63" s="19">
        <v>75</v>
      </c>
      <c r="T63" s="19">
        <v>75</v>
      </c>
      <c r="U63" s="19">
        <v>75</v>
      </c>
      <c r="V63" s="19">
        <v>75</v>
      </c>
      <c r="W63" s="19">
        <v>75</v>
      </c>
      <c r="X63" s="19">
        <v>75</v>
      </c>
      <c r="Y63" s="19">
        <v>75</v>
      </c>
      <c r="Z63" s="19">
        <v>75</v>
      </c>
      <c r="AA63" s="19"/>
      <c r="AB63" s="19"/>
      <c r="AC63" s="19"/>
      <c r="AD63" s="19"/>
      <c r="AE63" s="19"/>
      <c r="AF63" s="19"/>
      <c r="AG63" s="19"/>
      <c r="AH63" s="19"/>
      <c r="AI63" s="19"/>
      <c r="AJ63" s="19"/>
      <c r="AK63" s="19"/>
      <c r="AL63" s="19"/>
      <c r="AM63" s="19"/>
      <c r="AN63" s="19"/>
      <c r="AO63" s="19"/>
      <c r="AP63" s="19"/>
      <c r="AQ63" s="19"/>
      <c r="AR63" s="20"/>
      <c r="AS63" s="14"/>
      <c r="AW63" s="33">
        <v>0</v>
      </c>
      <c r="AY63">
        <v>0</v>
      </c>
    </row>
    <row r="64" spans="2:51" x14ac:dyDescent="0.25">
      <c r="B64" s="106" t="s">
        <v>17</v>
      </c>
      <c r="C64" s="18">
        <v>70</v>
      </c>
      <c r="D64" s="19">
        <v>70</v>
      </c>
      <c r="E64" s="19">
        <v>68</v>
      </c>
      <c r="F64" s="19">
        <v>68</v>
      </c>
      <c r="G64" s="19">
        <v>68</v>
      </c>
      <c r="H64" s="19">
        <v>0</v>
      </c>
      <c r="I64" s="19">
        <v>68</v>
      </c>
      <c r="J64" s="19">
        <v>68</v>
      </c>
      <c r="K64" s="19">
        <v>68</v>
      </c>
      <c r="L64" s="19">
        <v>68</v>
      </c>
      <c r="M64" s="19">
        <v>68</v>
      </c>
      <c r="N64" s="19">
        <v>70</v>
      </c>
      <c r="O64" s="19">
        <v>70</v>
      </c>
      <c r="P64" s="19">
        <v>70</v>
      </c>
      <c r="Q64" s="19">
        <v>68</v>
      </c>
      <c r="R64" s="19">
        <v>70</v>
      </c>
      <c r="S64" s="19">
        <v>70</v>
      </c>
      <c r="T64" s="19">
        <v>70</v>
      </c>
      <c r="U64" s="19">
        <v>68</v>
      </c>
      <c r="V64" s="19">
        <v>68</v>
      </c>
      <c r="W64" s="19">
        <v>68</v>
      </c>
      <c r="X64" s="19">
        <v>68</v>
      </c>
      <c r="Y64" s="19">
        <v>68</v>
      </c>
      <c r="Z64" s="19">
        <v>70</v>
      </c>
      <c r="AA64" s="19"/>
      <c r="AB64" s="19"/>
      <c r="AC64" s="19"/>
      <c r="AD64" s="19"/>
      <c r="AE64" s="19"/>
      <c r="AF64" s="19"/>
      <c r="AG64" s="19"/>
      <c r="AH64" s="19"/>
      <c r="AI64" s="19"/>
      <c r="AJ64" s="19"/>
      <c r="AK64" s="19"/>
      <c r="AL64" s="19"/>
      <c r="AM64" s="19"/>
      <c r="AN64" s="19"/>
      <c r="AO64" s="19"/>
      <c r="AP64" s="19"/>
      <c r="AQ64" s="19"/>
      <c r="AR64" s="20"/>
      <c r="AS64" s="14"/>
      <c r="AW64" s="33">
        <v>0</v>
      </c>
      <c r="AY64">
        <v>0</v>
      </c>
    </row>
    <row r="65" spans="2:51" x14ac:dyDescent="0.25">
      <c r="B65" s="106" t="s">
        <v>114</v>
      </c>
      <c r="C65" s="18">
        <v>85</v>
      </c>
      <c r="D65" s="19">
        <v>85</v>
      </c>
      <c r="E65" s="19">
        <v>80</v>
      </c>
      <c r="F65" s="19">
        <v>80</v>
      </c>
      <c r="G65" s="19">
        <v>80</v>
      </c>
      <c r="H65" s="19">
        <v>0</v>
      </c>
      <c r="I65" s="19">
        <v>80</v>
      </c>
      <c r="J65" s="19">
        <v>80</v>
      </c>
      <c r="K65" s="19">
        <v>80</v>
      </c>
      <c r="L65" s="19">
        <v>80</v>
      </c>
      <c r="M65" s="19">
        <v>80</v>
      </c>
      <c r="N65" s="19">
        <v>85</v>
      </c>
      <c r="O65" s="19">
        <v>85</v>
      </c>
      <c r="P65" s="19">
        <v>85</v>
      </c>
      <c r="Q65" s="19">
        <v>80</v>
      </c>
      <c r="R65" s="19">
        <v>85</v>
      </c>
      <c r="S65" s="19">
        <v>85</v>
      </c>
      <c r="T65" s="19">
        <v>85</v>
      </c>
      <c r="U65" s="19">
        <v>80</v>
      </c>
      <c r="V65" s="19">
        <v>80</v>
      </c>
      <c r="W65" s="19">
        <v>80</v>
      </c>
      <c r="X65" s="19">
        <v>80</v>
      </c>
      <c r="Y65" s="19">
        <v>80</v>
      </c>
      <c r="Z65" s="19">
        <v>80</v>
      </c>
      <c r="AA65" s="19"/>
      <c r="AB65" s="19"/>
      <c r="AC65" s="19"/>
      <c r="AD65" s="19"/>
      <c r="AE65" s="19"/>
      <c r="AF65" s="19"/>
      <c r="AG65" s="19"/>
      <c r="AH65" s="19"/>
      <c r="AI65" s="19"/>
      <c r="AJ65" s="19"/>
      <c r="AK65" s="19"/>
      <c r="AL65" s="19"/>
      <c r="AM65" s="19"/>
      <c r="AN65" s="19"/>
      <c r="AO65" s="19"/>
      <c r="AP65" s="19"/>
      <c r="AQ65" s="19"/>
      <c r="AR65" s="20"/>
      <c r="AS65" s="14"/>
      <c r="AW65" s="33">
        <v>0</v>
      </c>
      <c r="AY65">
        <v>0</v>
      </c>
    </row>
    <row r="66" spans="2:51" x14ac:dyDescent="0.25">
      <c r="B66" s="106" t="s">
        <v>115</v>
      </c>
      <c r="C66" s="18">
        <v>75</v>
      </c>
      <c r="D66" s="19">
        <v>75</v>
      </c>
      <c r="E66" s="19">
        <v>75</v>
      </c>
      <c r="F66" s="19">
        <v>75</v>
      </c>
      <c r="G66" s="19">
        <v>75</v>
      </c>
      <c r="H66" s="19">
        <v>0</v>
      </c>
      <c r="I66" s="19">
        <v>75</v>
      </c>
      <c r="J66" s="19">
        <v>75</v>
      </c>
      <c r="K66" s="19">
        <v>75</v>
      </c>
      <c r="L66" s="19">
        <v>75</v>
      </c>
      <c r="M66" s="19">
        <v>75</v>
      </c>
      <c r="N66" s="19">
        <v>75</v>
      </c>
      <c r="O66" s="19">
        <v>75</v>
      </c>
      <c r="P66" s="19">
        <v>80</v>
      </c>
      <c r="Q66" s="19">
        <v>75</v>
      </c>
      <c r="R66" s="19">
        <v>75</v>
      </c>
      <c r="S66" s="19">
        <v>75</v>
      </c>
      <c r="T66" s="19">
        <v>75</v>
      </c>
      <c r="U66" s="19">
        <v>75</v>
      </c>
      <c r="V66" s="19">
        <v>75</v>
      </c>
      <c r="W66" s="19">
        <v>75</v>
      </c>
      <c r="X66" s="19">
        <v>75</v>
      </c>
      <c r="Y66" s="19">
        <v>75</v>
      </c>
      <c r="Z66" s="19">
        <v>75</v>
      </c>
      <c r="AA66" s="19"/>
      <c r="AB66" s="19"/>
      <c r="AC66" s="19"/>
      <c r="AD66" s="19"/>
      <c r="AE66" s="19"/>
      <c r="AF66" s="19"/>
      <c r="AG66" s="19"/>
      <c r="AH66" s="19"/>
      <c r="AI66" s="19"/>
      <c r="AJ66" s="19"/>
      <c r="AK66" s="19"/>
      <c r="AL66" s="19"/>
      <c r="AM66" s="19"/>
      <c r="AN66" s="19"/>
      <c r="AO66" s="19"/>
      <c r="AP66" s="19"/>
      <c r="AQ66" s="19"/>
      <c r="AR66" s="20"/>
      <c r="AS66" s="14"/>
      <c r="AW66" s="33">
        <v>0</v>
      </c>
      <c r="AY66">
        <v>0</v>
      </c>
    </row>
    <row r="67" spans="2:51" x14ac:dyDescent="0.25">
      <c r="B67" s="106" t="s">
        <v>116</v>
      </c>
      <c r="C67" s="18">
        <v>85</v>
      </c>
      <c r="D67" s="19">
        <v>85</v>
      </c>
      <c r="E67" s="19">
        <v>85</v>
      </c>
      <c r="F67" s="19">
        <v>85</v>
      </c>
      <c r="G67" s="19">
        <v>85</v>
      </c>
      <c r="H67" s="19">
        <v>0</v>
      </c>
      <c r="I67" s="19">
        <v>85</v>
      </c>
      <c r="J67" s="19">
        <v>85</v>
      </c>
      <c r="K67" s="19">
        <v>85</v>
      </c>
      <c r="L67" s="19">
        <v>85</v>
      </c>
      <c r="M67" s="19">
        <v>85</v>
      </c>
      <c r="N67" s="19">
        <v>85</v>
      </c>
      <c r="O67" s="19">
        <v>85</v>
      </c>
      <c r="P67" s="19">
        <v>85</v>
      </c>
      <c r="Q67" s="19">
        <v>85</v>
      </c>
      <c r="R67" s="19">
        <v>85</v>
      </c>
      <c r="S67" s="19">
        <v>85</v>
      </c>
      <c r="T67" s="19">
        <v>85</v>
      </c>
      <c r="U67" s="19">
        <v>85</v>
      </c>
      <c r="V67" s="19">
        <v>85</v>
      </c>
      <c r="W67" s="19">
        <v>85</v>
      </c>
      <c r="X67" s="19">
        <v>85</v>
      </c>
      <c r="Y67" s="19">
        <v>85</v>
      </c>
      <c r="Z67" s="19">
        <v>85</v>
      </c>
      <c r="AA67" s="19"/>
      <c r="AB67" s="19"/>
      <c r="AC67" s="19"/>
      <c r="AD67" s="19"/>
      <c r="AE67" s="19"/>
      <c r="AF67" s="19"/>
      <c r="AG67" s="19"/>
      <c r="AH67" s="19"/>
      <c r="AI67" s="19"/>
      <c r="AJ67" s="19"/>
      <c r="AK67" s="19"/>
      <c r="AL67" s="19"/>
      <c r="AM67" s="19"/>
      <c r="AN67" s="19"/>
      <c r="AO67" s="19"/>
      <c r="AP67" s="19"/>
      <c r="AQ67" s="19"/>
      <c r="AR67" s="20"/>
      <c r="AS67" s="14"/>
      <c r="AW67" s="33">
        <v>0</v>
      </c>
      <c r="AY67">
        <v>0</v>
      </c>
    </row>
    <row r="68" spans="2:51" x14ac:dyDescent="0.25">
      <c r="B68" s="106" t="s">
        <v>117</v>
      </c>
      <c r="C68" s="18">
        <v>85</v>
      </c>
      <c r="D68" s="19">
        <v>85</v>
      </c>
      <c r="E68" s="19">
        <v>85</v>
      </c>
      <c r="F68" s="19">
        <v>85</v>
      </c>
      <c r="G68" s="19">
        <v>85</v>
      </c>
      <c r="H68" s="19">
        <v>0</v>
      </c>
      <c r="I68" s="19">
        <v>85</v>
      </c>
      <c r="J68" s="19">
        <v>85</v>
      </c>
      <c r="K68" s="19">
        <v>85</v>
      </c>
      <c r="L68" s="19">
        <v>85</v>
      </c>
      <c r="M68" s="19">
        <v>85</v>
      </c>
      <c r="N68" s="19">
        <v>85</v>
      </c>
      <c r="O68" s="19">
        <v>85</v>
      </c>
      <c r="P68" s="19">
        <v>85</v>
      </c>
      <c r="Q68" s="19">
        <v>85</v>
      </c>
      <c r="R68" s="19">
        <v>85</v>
      </c>
      <c r="S68" s="19">
        <v>85</v>
      </c>
      <c r="T68" s="19">
        <v>85</v>
      </c>
      <c r="U68" s="19">
        <v>85</v>
      </c>
      <c r="V68" s="19">
        <v>85</v>
      </c>
      <c r="W68" s="19">
        <v>85</v>
      </c>
      <c r="X68" s="19">
        <v>85</v>
      </c>
      <c r="Y68" s="19">
        <v>85</v>
      </c>
      <c r="Z68" s="19">
        <v>85</v>
      </c>
      <c r="AA68" s="19"/>
      <c r="AB68" s="19"/>
      <c r="AC68" s="19"/>
      <c r="AD68" s="19"/>
      <c r="AE68" s="19"/>
      <c r="AF68" s="19"/>
      <c r="AG68" s="19"/>
      <c r="AH68" s="19"/>
      <c r="AI68" s="19"/>
      <c r="AJ68" s="19"/>
      <c r="AK68" s="19"/>
      <c r="AL68" s="19"/>
      <c r="AM68" s="19"/>
      <c r="AN68" s="19"/>
      <c r="AO68" s="19"/>
      <c r="AP68" s="19"/>
      <c r="AQ68" s="19"/>
      <c r="AR68" s="20"/>
      <c r="AS68" s="14"/>
      <c r="AW68" s="33">
        <v>0</v>
      </c>
      <c r="AY68">
        <v>0</v>
      </c>
    </row>
    <row r="69" spans="2:51" x14ac:dyDescent="0.25">
      <c r="B69" s="106" t="s">
        <v>118</v>
      </c>
      <c r="C69" s="18">
        <v>85</v>
      </c>
      <c r="D69" s="19">
        <v>85</v>
      </c>
      <c r="E69" s="19">
        <v>85</v>
      </c>
      <c r="F69" s="19">
        <v>85</v>
      </c>
      <c r="G69" s="19">
        <v>85</v>
      </c>
      <c r="H69" s="19">
        <v>0</v>
      </c>
      <c r="I69" s="19">
        <v>85</v>
      </c>
      <c r="J69" s="19">
        <v>85</v>
      </c>
      <c r="K69" s="19">
        <v>85</v>
      </c>
      <c r="L69" s="19">
        <v>85</v>
      </c>
      <c r="M69" s="19">
        <v>85</v>
      </c>
      <c r="N69" s="19">
        <v>85</v>
      </c>
      <c r="O69" s="19">
        <v>85</v>
      </c>
      <c r="P69" s="19">
        <v>85</v>
      </c>
      <c r="Q69" s="19">
        <v>85</v>
      </c>
      <c r="R69" s="19">
        <v>85</v>
      </c>
      <c r="S69" s="19">
        <v>85</v>
      </c>
      <c r="T69" s="19">
        <v>85</v>
      </c>
      <c r="U69" s="19">
        <v>85</v>
      </c>
      <c r="V69" s="19">
        <v>85</v>
      </c>
      <c r="W69" s="19">
        <v>85</v>
      </c>
      <c r="X69" s="19">
        <v>85</v>
      </c>
      <c r="Y69" s="19">
        <v>85</v>
      </c>
      <c r="Z69" s="19">
        <v>85</v>
      </c>
      <c r="AA69" s="19"/>
      <c r="AB69" s="19"/>
      <c r="AC69" s="19"/>
      <c r="AD69" s="19"/>
      <c r="AE69" s="19"/>
      <c r="AF69" s="19"/>
      <c r="AG69" s="19"/>
      <c r="AH69" s="19"/>
      <c r="AI69" s="19"/>
      <c r="AJ69" s="19"/>
      <c r="AK69" s="19"/>
      <c r="AL69" s="19"/>
      <c r="AM69" s="19"/>
      <c r="AN69" s="19"/>
      <c r="AO69" s="19"/>
      <c r="AP69" s="19"/>
      <c r="AQ69" s="19"/>
      <c r="AR69" s="20"/>
      <c r="AS69" s="14"/>
      <c r="AW69" s="33">
        <v>0</v>
      </c>
      <c r="AY69">
        <v>0</v>
      </c>
    </row>
    <row r="70" spans="2:51" x14ac:dyDescent="0.25">
      <c r="B70" s="106" t="s">
        <v>119</v>
      </c>
      <c r="C70" s="18">
        <v>85</v>
      </c>
      <c r="D70" s="19">
        <v>85</v>
      </c>
      <c r="E70" s="19">
        <v>85</v>
      </c>
      <c r="F70" s="19">
        <v>85</v>
      </c>
      <c r="G70" s="19">
        <v>85</v>
      </c>
      <c r="H70" s="19">
        <v>0</v>
      </c>
      <c r="I70" s="19">
        <v>85</v>
      </c>
      <c r="J70" s="19">
        <v>85</v>
      </c>
      <c r="K70" s="19">
        <v>85</v>
      </c>
      <c r="L70" s="19">
        <v>85</v>
      </c>
      <c r="M70" s="19">
        <v>85</v>
      </c>
      <c r="N70" s="19">
        <v>85</v>
      </c>
      <c r="O70" s="19">
        <v>85</v>
      </c>
      <c r="P70" s="19">
        <v>85</v>
      </c>
      <c r="Q70" s="19">
        <v>85</v>
      </c>
      <c r="R70" s="19">
        <v>85</v>
      </c>
      <c r="S70" s="19">
        <v>85</v>
      </c>
      <c r="T70" s="19">
        <v>85</v>
      </c>
      <c r="U70" s="19">
        <v>85</v>
      </c>
      <c r="V70" s="19">
        <v>85</v>
      </c>
      <c r="W70" s="19">
        <v>85</v>
      </c>
      <c r="X70" s="19">
        <v>85</v>
      </c>
      <c r="Y70" s="19">
        <v>85</v>
      </c>
      <c r="Z70" s="19">
        <v>85</v>
      </c>
      <c r="AA70" s="19"/>
      <c r="AB70" s="19"/>
      <c r="AC70" s="19"/>
      <c r="AD70" s="19"/>
      <c r="AE70" s="19"/>
      <c r="AF70" s="19"/>
      <c r="AG70" s="19"/>
      <c r="AH70" s="19"/>
      <c r="AI70" s="19"/>
      <c r="AJ70" s="19"/>
      <c r="AK70" s="19"/>
      <c r="AL70" s="19"/>
      <c r="AM70" s="19"/>
      <c r="AN70" s="19"/>
      <c r="AO70" s="19"/>
      <c r="AP70" s="19"/>
      <c r="AQ70" s="19"/>
      <c r="AR70" s="20"/>
      <c r="AS70" s="14"/>
      <c r="AW70" s="33">
        <v>0</v>
      </c>
      <c r="AY70">
        <v>0</v>
      </c>
    </row>
    <row r="71" spans="2:51" x14ac:dyDescent="0.25">
      <c r="B71" s="106" t="s">
        <v>120</v>
      </c>
      <c r="C71" s="18">
        <v>85</v>
      </c>
      <c r="D71" s="19">
        <v>85</v>
      </c>
      <c r="E71" s="19">
        <v>85</v>
      </c>
      <c r="F71" s="19">
        <v>85</v>
      </c>
      <c r="G71" s="19">
        <v>85</v>
      </c>
      <c r="H71" s="19">
        <v>0</v>
      </c>
      <c r="I71" s="19">
        <v>85</v>
      </c>
      <c r="J71" s="19">
        <v>85</v>
      </c>
      <c r="K71" s="19">
        <v>85</v>
      </c>
      <c r="L71" s="19">
        <v>85</v>
      </c>
      <c r="M71" s="19">
        <v>85</v>
      </c>
      <c r="N71" s="19">
        <v>85</v>
      </c>
      <c r="O71" s="19">
        <v>85</v>
      </c>
      <c r="P71" s="19">
        <v>85</v>
      </c>
      <c r="Q71" s="19">
        <v>85</v>
      </c>
      <c r="R71" s="19">
        <v>85</v>
      </c>
      <c r="S71" s="19">
        <v>85</v>
      </c>
      <c r="T71" s="19">
        <v>85</v>
      </c>
      <c r="U71" s="19">
        <v>85</v>
      </c>
      <c r="V71" s="19">
        <v>85</v>
      </c>
      <c r="W71" s="19">
        <v>85</v>
      </c>
      <c r="X71" s="19">
        <v>85</v>
      </c>
      <c r="Y71" s="19">
        <v>85</v>
      </c>
      <c r="Z71" s="19">
        <v>85</v>
      </c>
      <c r="AA71" s="19"/>
      <c r="AB71" s="19"/>
      <c r="AC71" s="19"/>
      <c r="AD71" s="19"/>
      <c r="AE71" s="19"/>
      <c r="AF71" s="19"/>
      <c r="AG71" s="19"/>
      <c r="AH71" s="19"/>
      <c r="AI71" s="19"/>
      <c r="AJ71" s="19"/>
      <c r="AK71" s="19"/>
      <c r="AL71" s="19"/>
      <c r="AM71" s="19"/>
      <c r="AN71" s="19"/>
      <c r="AO71" s="19"/>
      <c r="AP71" s="19"/>
      <c r="AQ71" s="19"/>
      <c r="AR71" s="20"/>
      <c r="AS71" s="14"/>
      <c r="AW71" s="33">
        <v>0</v>
      </c>
      <c r="AY71">
        <v>0</v>
      </c>
    </row>
    <row r="72" spans="2:51" x14ac:dyDescent="0.25">
      <c r="B72" s="106" t="s">
        <v>25</v>
      </c>
      <c r="C72" s="18">
        <v>97</v>
      </c>
      <c r="D72" s="19">
        <v>97</v>
      </c>
      <c r="E72" s="19">
        <v>97</v>
      </c>
      <c r="F72" s="19">
        <v>97</v>
      </c>
      <c r="G72" s="19">
        <v>97</v>
      </c>
      <c r="H72" s="19">
        <v>0</v>
      </c>
      <c r="I72" s="19">
        <v>97</v>
      </c>
      <c r="J72" s="19">
        <v>97</v>
      </c>
      <c r="K72" s="19">
        <v>97</v>
      </c>
      <c r="L72" s="19">
        <v>97</v>
      </c>
      <c r="M72" s="19">
        <v>97</v>
      </c>
      <c r="N72" s="19">
        <v>97</v>
      </c>
      <c r="O72" s="19">
        <v>97</v>
      </c>
      <c r="P72" s="19">
        <v>97</v>
      </c>
      <c r="Q72" s="19">
        <v>97</v>
      </c>
      <c r="R72" s="19">
        <v>97</v>
      </c>
      <c r="S72" s="19">
        <v>97</v>
      </c>
      <c r="T72" s="19">
        <v>97</v>
      </c>
      <c r="U72" s="19">
        <v>97</v>
      </c>
      <c r="V72" s="19">
        <v>92.5</v>
      </c>
      <c r="W72" s="19">
        <v>97</v>
      </c>
      <c r="X72" s="19">
        <v>95</v>
      </c>
      <c r="Y72" s="19">
        <v>97</v>
      </c>
      <c r="Z72" s="19">
        <v>97</v>
      </c>
      <c r="AA72" s="19"/>
      <c r="AB72" s="19"/>
      <c r="AC72" s="19"/>
      <c r="AD72" s="19"/>
      <c r="AE72" s="19"/>
      <c r="AF72" s="19"/>
      <c r="AG72" s="19"/>
      <c r="AH72" s="19"/>
      <c r="AI72" s="19"/>
      <c r="AJ72" s="19"/>
      <c r="AK72" s="19"/>
      <c r="AL72" s="19"/>
      <c r="AM72" s="19"/>
      <c r="AN72" s="19"/>
      <c r="AO72" s="19"/>
      <c r="AP72" s="19"/>
      <c r="AQ72" s="19"/>
      <c r="AR72" s="20"/>
      <c r="AS72" s="14"/>
      <c r="AW72" s="33">
        <v>0</v>
      </c>
      <c r="AY72">
        <v>0</v>
      </c>
    </row>
    <row r="73" spans="2:51" x14ac:dyDescent="0.25">
      <c r="B73" s="106" t="s">
        <v>54</v>
      </c>
      <c r="C73" s="18">
        <v>97</v>
      </c>
      <c r="D73" s="19">
        <v>97</v>
      </c>
      <c r="E73" s="19">
        <v>97</v>
      </c>
      <c r="F73" s="19">
        <v>97</v>
      </c>
      <c r="G73" s="19">
        <v>97</v>
      </c>
      <c r="H73" s="19">
        <v>0</v>
      </c>
      <c r="I73" s="19">
        <v>97</v>
      </c>
      <c r="J73" s="19">
        <v>97</v>
      </c>
      <c r="K73" s="19">
        <v>97</v>
      </c>
      <c r="L73" s="19">
        <v>97</v>
      </c>
      <c r="M73" s="19">
        <v>97</v>
      </c>
      <c r="N73" s="19">
        <v>97</v>
      </c>
      <c r="O73" s="19">
        <v>97</v>
      </c>
      <c r="P73" s="19">
        <v>97</v>
      </c>
      <c r="Q73" s="19">
        <v>97</v>
      </c>
      <c r="R73" s="19">
        <v>97</v>
      </c>
      <c r="S73" s="19">
        <v>97</v>
      </c>
      <c r="T73" s="19">
        <v>97</v>
      </c>
      <c r="U73" s="19">
        <v>97</v>
      </c>
      <c r="V73" s="19">
        <v>97</v>
      </c>
      <c r="W73" s="19">
        <v>97</v>
      </c>
      <c r="X73" s="19">
        <v>95</v>
      </c>
      <c r="Y73" s="19">
        <v>97</v>
      </c>
      <c r="Z73" s="19">
        <v>97</v>
      </c>
      <c r="AA73" s="19"/>
      <c r="AB73" s="19"/>
      <c r="AC73" s="19"/>
      <c r="AD73" s="19"/>
      <c r="AE73" s="19"/>
      <c r="AF73" s="19"/>
      <c r="AG73" s="19"/>
      <c r="AH73" s="19"/>
      <c r="AI73" s="19"/>
      <c r="AJ73" s="19"/>
      <c r="AK73" s="19"/>
      <c r="AL73" s="19"/>
      <c r="AM73" s="19"/>
      <c r="AN73" s="19"/>
      <c r="AO73" s="19"/>
      <c r="AP73" s="19"/>
      <c r="AQ73" s="19"/>
      <c r="AR73" s="20"/>
      <c r="AS73" s="14"/>
      <c r="AW73" s="33">
        <v>0</v>
      </c>
      <c r="AY73">
        <v>0</v>
      </c>
    </row>
    <row r="74" spans="2:51" x14ac:dyDescent="0.25">
      <c r="B74" s="106" t="s">
        <v>121</v>
      </c>
      <c r="C74" s="18">
        <v>80</v>
      </c>
      <c r="D74" s="19">
        <v>80</v>
      </c>
      <c r="E74" s="19">
        <v>80</v>
      </c>
      <c r="F74" s="19">
        <v>80</v>
      </c>
      <c r="G74" s="19">
        <v>80</v>
      </c>
      <c r="H74" s="19">
        <v>0</v>
      </c>
      <c r="I74" s="19">
        <v>80</v>
      </c>
      <c r="J74" s="19">
        <v>80</v>
      </c>
      <c r="K74" s="19">
        <v>80</v>
      </c>
      <c r="L74" s="19">
        <v>80</v>
      </c>
      <c r="M74" s="19">
        <v>80</v>
      </c>
      <c r="N74" s="19">
        <v>80</v>
      </c>
      <c r="O74" s="19">
        <v>80</v>
      </c>
      <c r="P74" s="19">
        <v>82</v>
      </c>
      <c r="Q74" s="19">
        <v>80</v>
      </c>
      <c r="R74" s="19">
        <v>80</v>
      </c>
      <c r="S74" s="19">
        <v>80</v>
      </c>
      <c r="T74" s="19">
        <v>80</v>
      </c>
      <c r="U74" s="19">
        <v>80</v>
      </c>
      <c r="V74" s="19">
        <v>80</v>
      </c>
      <c r="W74" s="19">
        <v>80</v>
      </c>
      <c r="X74" s="19">
        <v>80</v>
      </c>
      <c r="Y74" s="19">
        <v>80</v>
      </c>
      <c r="Z74" s="19">
        <v>80</v>
      </c>
      <c r="AA74" s="19"/>
      <c r="AB74" s="19"/>
      <c r="AC74" s="19"/>
      <c r="AD74" s="19"/>
      <c r="AE74" s="19"/>
      <c r="AF74" s="19"/>
      <c r="AG74" s="19"/>
      <c r="AH74" s="19"/>
      <c r="AI74" s="19"/>
      <c r="AJ74" s="19"/>
      <c r="AK74" s="19"/>
      <c r="AL74" s="19"/>
      <c r="AM74" s="19"/>
      <c r="AN74" s="19"/>
      <c r="AO74" s="19"/>
      <c r="AP74" s="19"/>
      <c r="AQ74" s="19"/>
      <c r="AR74" s="20"/>
      <c r="AS74" s="14"/>
      <c r="AW74" s="33">
        <v>0</v>
      </c>
      <c r="AY74">
        <v>0</v>
      </c>
    </row>
    <row r="75" spans="2:51" x14ac:dyDescent="0.25">
      <c r="B75" s="106" t="s">
        <v>31</v>
      </c>
      <c r="C75" s="18">
        <v>77</v>
      </c>
      <c r="D75" s="19">
        <v>77</v>
      </c>
      <c r="E75" s="19">
        <v>75</v>
      </c>
      <c r="F75" s="19">
        <v>75</v>
      </c>
      <c r="G75" s="19">
        <v>75</v>
      </c>
      <c r="H75" s="19">
        <v>0</v>
      </c>
      <c r="I75" s="19">
        <v>75</v>
      </c>
      <c r="J75" s="19">
        <v>75</v>
      </c>
      <c r="K75" s="19">
        <v>75</v>
      </c>
      <c r="L75" s="19">
        <v>75</v>
      </c>
      <c r="M75" s="19">
        <v>75</v>
      </c>
      <c r="N75" s="19">
        <v>77</v>
      </c>
      <c r="O75" s="19">
        <v>77</v>
      </c>
      <c r="P75" s="19">
        <v>80</v>
      </c>
      <c r="Q75" s="19">
        <v>75</v>
      </c>
      <c r="R75" s="19">
        <v>77</v>
      </c>
      <c r="S75" s="19">
        <v>77</v>
      </c>
      <c r="T75" s="19">
        <v>77</v>
      </c>
      <c r="U75" s="19">
        <v>75</v>
      </c>
      <c r="V75" s="19">
        <v>75</v>
      </c>
      <c r="W75" s="19">
        <v>75</v>
      </c>
      <c r="X75" s="19">
        <v>75</v>
      </c>
      <c r="Y75" s="19">
        <v>75</v>
      </c>
      <c r="Z75" s="19">
        <v>75</v>
      </c>
      <c r="AA75" s="19"/>
      <c r="AB75" s="19"/>
      <c r="AC75" s="19"/>
      <c r="AD75" s="19"/>
      <c r="AE75" s="19"/>
      <c r="AF75" s="19"/>
      <c r="AG75" s="19"/>
      <c r="AH75" s="19"/>
      <c r="AI75" s="19"/>
      <c r="AJ75" s="19"/>
      <c r="AK75" s="19"/>
      <c r="AL75" s="19"/>
      <c r="AM75" s="19"/>
      <c r="AN75" s="19"/>
      <c r="AO75" s="19"/>
      <c r="AP75" s="19"/>
      <c r="AQ75" s="19"/>
      <c r="AR75" s="20"/>
      <c r="AS75" s="14"/>
      <c r="AW75" s="33">
        <v>0</v>
      </c>
      <c r="AY75">
        <v>0</v>
      </c>
    </row>
    <row r="76" spans="2:51" x14ac:dyDescent="0.25">
      <c r="B76" s="106" t="s">
        <v>26</v>
      </c>
      <c r="C76" s="18">
        <v>85</v>
      </c>
      <c r="D76" s="19">
        <v>85</v>
      </c>
      <c r="E76" s="19">
        <v>82</v>
      </c>
      <c r="F76" s="19">
        <v>82</v>
      </c>
      <c r="G76" s="19">
        <v>82</v>
      </c>
      <c r="H76" s="19">
        <v>0</v>
      </c>
      <c r="I76" s="19">
        <v>82</v>
      </c>
      <c r="J76" s="19">
        <v>82</v>
      </c>
      <c r="K76" s="19">
        <v>82</v>
      </c>
      <c r="L76" s="19">
        <v>82</v>
      </c>
      <c r="M76" s="19">
        <v>83</v>
      </c>
      <c r="N76" s="19">
        <v>85</v>
      </c>
      <c r="O76" s="19">
        <v>85</v>
      </c>
      <c r="P76" s="19">
        <v>85</v>
      </c>
      <c r="Q76" s="19">
        <v>82</v>
      </c>
      <c r="R76" s="19">
        <v>85</v>
      </c>
      <c r="S76" s="19">
        <v>85</v>
      </c>
      <c r="T76" s="19">
        <v>85</v>
      </c>
      <c r="U76" s="19">
        <v>82</v>
      </c>
      <c r="V76" s="19">
        <v>82</v>
      </c>
      <c r="W76" s="19">
        <v>82</v>
      </c>
      <c r="X76" s="19">
        <v>82</v>
      </c>
      <c r="Y76" s="19">
        <v>82</v>
      </c>
      <c r="Z76" s="19">
        <v>85</v>
      </c>
      <c r="AA76" s="19"/>
      <c r="AB76" s="19"/>
      <c r="AC76" s="19"/>
      <c r="AD76" s="19"/>
      <c r="AE76" s="19"/>
      <c r="AF76" s="19"/>
      <c r="AG76" s="19"/>
      <c r="AH76" s="19"/>
      <c r="AI76" s="19"/>
      <c r="AJ76" s="19"/>
      <c r="AK76" s="19"/>
      <c r="AL76" s="19"/>
      <c r="AM76" s="19"/>
      <c r="AN76" s="19"/>
      <c r="AO76" s="19"/>
      <c r="AP76" s="19"/>
      <c r="AQ76" s="19"/>
      <c r="AR76" s="20"/>
      <c r="AS76" s="14"/>
      <c r="AW76" s="33">
        <v>0</v>
      </c>
      <c r="AY76">
        <v>0</v>
      </c>
    </row>
    <row r="77" spans="2:51" x14ac:dyDescent="0.25">
      <c r="B77" s="106" t="s">
        <v>29</v>
      </c>
      <c r="C77" s="18">
        <v>82</v>
      </c>
      <c r="D77" s="19">
        <v>82</v>
      </c>
      <c r="E77" s="19">
        <v>78</v>
      </c>
      <c r="F77" s="19">
        <v>78</v>
      </c>
      <c r="G77" s="19">
        <v>78</v>
      </c>
      <c r="H77" s="19">
        <v>0</v>
      </c>
      <c r="I77" s="19">
        <v>83</v>
      </c>
      <c r="J77" s="19">
        <v>78</v>
      </c>
      <c r="K77" s="19">
        <v>78</v>
      </c>
      <c r="L77" s="19">
        <v>78</v>
      </c>
      <c r="M77" s="19">
        <v>80</v>
      </c>
      <c r="N77" s="19">
        <v>82</v>
      </c>
      <c r="O77" s="19">
        <v>82</v>
      </c>
      <c r="P77" s="19">
        <v>82</v>
      </c>
      <c r="Q77" s="19">
        <v>78</v>
      </c>
      <c r="R77" s="19">
        <v>82</v>
      </c>
      <c r="S77" s="19">
        <v>82</v>
      </c>
      <c r="T77" s="19">
        <v>82</v>
      </c>
      <c r="U77" s="19">
        <v>78</v>
      </c>
      <c r="V77" s="19">
        <v>78</v>
      </c>
      <c r="W77" s="19">
        <v>78</v>
      </c>
      <c r="X77" s="19">
        <v>78</v>
      </c>
      <c r="Y77" s="19">
        <v>78</v>
      </c>
      <c r="Z77" s="19">
        <v>83</v>
      </c>
      <c r="AA77" s="19"/>
      <c r="AB77" s="19"/>
      <c r="AC77" s="19"/>
      <c r="AD77" s="19"/>
      <c r="AE77" s="19"/>
      <c r="AF77" s="19"/>
      <c r="AG77" s="19"/>
      <c r="AH77" s="19"/>
      <c r="AI77" s="19"/>
      <c r="AJ77" s="19"/>
      <c r="AK77" s="19"/>
      <c r="AL77" s="19"/>
      <c r="AM77" s="19"/>
      <c r="AN77" s="19"/>
      <c r="AO77" s="19"/>
      <c r="AP77" s="19"/>
      <c r="AQ77" s="19"/>
      <c r="AR77" s="20"/>
      <c r="AS77" s="14"/>
      <c r="AW77" s="33">
        <v>0</v>
      </c>
      <c r="AY77">
        <v>0</v>
      </c>
    </row>
    <row r="78" spans="2:51" x14ac:dyDescent="0.25">
      <c r="B78" s="106" t="s">
        <v>122</v>
      </c>
      <c r="C78" s="18">
        <v>80</v>
      </c>
      <c r="D78" s="19">
        <v>80</v>
      </c>
      <c r="E78" s="19">
        <v>82</v>
      </c>
      <c r="F78" s="19">
        <v>82</v>
      </c>
      <c r="G78" s="19">
        <v>82</v>
      </c>
      <c r="H78" s="19">
        <v>0</v>
      </c>
      <c r="I78" s="19">
        <v>82</v>
      </c>
      <c r="J78" s="19">
        <v>82</v>
      </c>
      <c r="K78" s="19">
        <v>82</v>
      </c>
      <c r="L78" s="19">
        <v>82</v>
      </c>
      <c r="M78" s="19">
        <v>82</v>
      </c>
      <c r="N78" s="19">
        <v>80</v>
      </c>
      <c r="O78" s="19">
        <v>80</v>
      </c>
      <c r="P78" s="19">
        <v>80</v>
      </c>
      <c r="Q78" s="19">
        <v>82</v>
      </c>
      <c r="R78" s="19">
        <v>80</v>
      </c>
      <c r="S78" s="19">
        <v>80</v>
      </c>
      <c r="T78" s="19">
        <v>80</v>
      </c>
      <c r="U78" s="19">
        <v>82</v>
      </c>
      <c r="V78" s="19">
        <v>82</v>
      </c>
      <c r="W78" s="19">
        <v>82</v>
      </c>
      <c r="X78" s="19">
        <v>82</v>
      </c>
      <c r="Y78" s="19">
        <v>82</v>
      </c>
      <c r="Z78" s="19">
        <v>80</v>
      </c>
      <c r="AA78" s="19"/>
      <c r="AB78" s="19"/>
      <c r="AC78" s="19"/>
      <c r="AD78" s="19"/>
      <c r="AE78" s="19"/>
      <c r="AF78" s="19"/>
      <c r="AG78" s="19"/>
      <c r="AH78" s="19"/>
      <c r="AI78" s="19"/>
      <c r="AJ78" s="19"/>
      <c r="AK78" s="19"/>
      <c r="AL78" s="19"/>
      <c r="AM78" s="19"/>
      <c r="AN78" s="19"/>
      <c r="AO78" s="19"/>
      <c r="AP78" s="19"/>
      <c r="AQ78" s="19"/>
      <c r="AR78" s="20"/>
      <c r="AS78" s="14"/>
      <c r="AW78" s="33">
        <v>0</v>
      </c>
      <c r="AY78">
        <v>0</v>
      </c>
    </row>
    <row r="79" spans="2:51" x14ac:dyDescent="0.25">
      <c r="B79" s="106" t="s">
        <v>59</v>
      </c>
      <c r="C79" s="18">
        <v>73</v>
      </c>
      <c r="D79" s="19">
        <v>73</v>
      </c>
      <c r="E79" s="19">
        <v>70</v>
      </c>
      <c r="F79" s="19">
        <v>73</v>
      </c>
      <c r="G79" s="19">
        <v>73</v>
      </c>
      <c r="H79" s="19">
        <v>0</v>
      </c>
      <c r="I79" s="19">
        <v>73</v>
      </c>
      <c r="J79" s="19">
        <v>73</v>
      </c>
      <c r="K79" s="19">
        <v>70</v>
      </c>
      <c r="L79" s="19">
        <v>70</v>
      </c>
      <c r="M79" s="19">
        <v>70</v>
      </c>
      <c r="N79" s="19">
        <v>73</v>
      </c>
      <c r="O79" s="19">
        <v>73</v>
      </c>
      <c r="P79" s="19">
        <v>73</v>
      </c>
      <c r="Q79" s="19">
        <v>70</v>
      </c>
      <c r="R79" s="19">
        <v>73</v>
      </c>
      <c r="S79" s="19">
        <v>73</v>
      </c>
      <c r="T79" s="19">
        <v>73</v>
      </c>
      <c r="U79" s="19">
        <v>70</v>
      </c>
      <c r="V79" s="19">
        <v>70</v>
      </c>
      <c r="W79" s="19">
        <v>70</v>
      </c>
      <c r="X79" s="19">
        <v>70</v>
      </c>
      <c r="Y79" s="19">
        <v>70</v>
      </c>
      <c r="Z79" s="19">
        <v>73</v>
      </c>
      <c r="AA79" s="19"/>
      <c r="AB79" s="19"/>
      <c r="AC79" s="19"/>
      <c r="AD79" s="19"/>
      <c r="AE79" s="19"/>
      <c r="AF79" s="19"/>
      <c r="AG79" s="19"/>
      <c r="AH79" s="19"/>
      <c r="AI79" s="19"/>
      <c r="AJ79" s="19"/>
      <c r="AK79" s="19"/>
      <c r="AL79" s="19"/>
      <c r="AM79" s="19"/>
      <c r="AN79" s="19"/>
      <c r="AO79" s="19"/>
      <c r="AP79" s="19"/>
      <c r="AQ79" s="19"/>
      <c r="AR79" s="20"/>
      <c r="AS79" s="14"/>
      <c r="AW79" s="33">
        <v>0</v>
      </c>
      <c r="AY79">
        <v>0</v>
      </c>
    </row>
    <row r="80" spans="2:51" x14ac:dyDescent="0.25">
      <c r="B80" s="106" t="s">
        <v>62</v>
      </c>
      <c r="C80" s="18">
        <v>85</v>
      </c>
      <c r="D80" s="19">
        <v>85</v>
      </c>
      <c r="E80" s="19">
        <v>82</v>
      </c>
      <c r="F80" s="19">
        <v>82</v>
      </c>
      <c r="G80" s="19">
        <v>82</v>
      </c>
      <c r="H80" s="19">
        <v>0</v>
      </c>
      <c r="I80" s="19">
        <v>82</v>
      </c>
      <c r="J80" s="19">
        <v>82</v>
      </c>
      <c r="K80" s="19">
        <v>82</v>
      </c>
      <c r="L80" s="19">
        <v>82</v>
      </c>
      <c r="M80" s="19">
        <v>83</v>
      </c>
      <c r="N80" s="19">
        <v>85</v>
      </c>
      <c r="O80" s="19">
        <v>85</v>
      </c>
      <c r="P80" s="19">
        <v>85</v>
      </c>
      <c r="Q80" s="19">
        <v>82</v>
      </c>
      <c r="R80" s="19">
        <v>85</v>
      </c>
      <c r="S80" s="19">
        <v>85</v>
      </c>
      <c r="T80" s="19">
        <v>85</v>
      </c>
      <c r="U80" s="19">
        <v>82</v>
      </c>
      <c r="V80" s="19">
        <v>82</v>
      </c>
      <c r="W80" s="19">
        <v>82</v>
      </c>
      <c r="X80" s="19">
        <v>82</v>
      </c>
      <c r="Y80" s="19">
        <v>82</v>
      </c>
      <c r="Z80" s="19">
        <v>85</v>
      </c>
      <c r="AA80" s="19"/>
      <c r="AB80" s="19"/>
      <c r="AC80" s="19"/>
      <c r="AD80" s="19"/>
      <c r="AE80" s="19"/>
      <c r="AF80" s="19"/>
      <c r="AG80" s="19"/>
      <c r="AH80" s="19"/>
      <c r="AI80" s="19"/>
      <c r="AJ80" s="19"/>
      <c r="AK80" s="19"/>
      <c r="AL80" s="19"/>
      <c r="AM80" s="19"/>
      <c r="AN80" s="19"/>
      <c r="AO80" s="19"/>
      <c r="AP80" s="19"/>
      <c r="AQ80" s="19"/>
      <c r="AR80" s="20"/>
      <c r="AS80" s="14"/>
      <c r="AW80" s="33">
        <v>0</v>
      </c>
      <c r="AY80">
        <v>0</v>
      </c>
    </row>
    <row r="81" spans="2:51" x14ac:dyDescent="0.25">
      <c r="B81" s="106" t="s">
        <v>18</v>
      </c>
      <c r="C81" s="18">
        <v>85</v>
      </c>
      <c r="D81" s="19">
        <v>85</v>
      </c>
      <c r="E81" s="19">
        <v>82</v>
      </c>
      <c r="F81" s="19">
        <v>82</v>
      </c>
      <c r="G81" s="19">
        <v>82</v>
      </c>
      <c r="H81" s="19">
        <v>0</v>
      </c>
      <c r="I81" s="19">
        <v>82</v>
      </c>
      <c r="J81" s="19">
        <v>82</v>
      </c>
      <c r="K81" s="19">
        <v>82</v>
      </c>
      <c r="L81" s="19">
        <v>82</v>
      </c>
      <c r="M81" s="19">
        <v>83</v>
      </c>
      <c r="N81" s="19">
        <v>85</v>
      </c>
      <c r="O81" s="19">
        <v>85</v>
      </c>
      <c r="P81" s="19">
        <v>85</v>
      </c>
      <c r="Q81" s="19">
        <v>82</v>
      </c>
      <c r="R81" s="19">
        <v>85</v>
      </c>
      <c r="S81" s="19">
        <v>85</v>
      </c>
      <c r="T81" s="19">
        <v>85</v>
      </c>
      <c r="U81" s="19">
        <v>82</v>
      </c>
      <c r="V81" s="19">
        <v>81.5</v>
      </c>
      <c r="W81" s="19">
        <v>82</v>
      </c>
      <c r="X81" s="19">
        <v>82</v>
      </c>
      <c r="Y81" s="19">
        <v>82</v>
      </c>
      <c r="Z81" s="19">
        <v>85</v>
      </c>
      <c r="AA81" s="19"/>
      <c r="AB81" s="19"/>
      <c r="AC81" s="19"/>
      <c r="AD81" s="19"/>
      <c r="AE81" s="19"/>
      <c r="AF81" s="19"/>
      <c r="AG81" s="19"/>
      <c r="AH81" s="19"/>
      <c r="AI81" s="19"/>
      <c r="AJ81" s="19"/>
      <c r="AK81" s="19"/>
      <c r="AL81" s="19"/>
      <c r="AM81" s="19"/>
      <c r="AN81" s="19"/>
      <c r="AO81" s="19"/>
      <c r="AP81" s="19"/>
      <c r="AQ81" s="19"/>
      <c r="AR81" s="20"/>
      <c r="AS81" s="14"/>
      <c r="AW81" s="33">
        <v>0</v>
      </c>
      <c r="AY81">
        <v>0</v>
      </c>
    </row>
    <row r="82" spans="2:51" x14ac:dyDescent="0.25">
      <c r="B82" s="106" t="s">
        <v>123</v>
      </c>
      <c r="C82" s="18">
        <v>77</v>
      </c>
      <c r="D82" s="19">
        <v>77</v>
      </c>
      <c r="E82" s="19">
        <v>75</v>
      </c>
      <c r="F82" s="19">
        <v>75</v>
      </c>
      <c r="G82" s="19">
        <v>75</v>
      </c>
      <c r="H82" s="19">
        <v>0</v>
      </c>
      <c r="I82" s="19">
        <v>75</v>
      </c>
      <c r="J82" s="19">
        <v>75</v>
      </c>
      <c r="K82" s="19">
        <v>75</v>
      </c>
      <c r="L82" s="19">
        <v>75</v>
      </c>
      <c r="M82" s="19">
        <v>75</v>
      </c>
      <c r="N82" s="19">
        <v>77</v>
      </c>
      <c r="O82" s="19">
        <v>77</v>
      </c>
      <c r="P82" s="19">
        <v>80</v>
      </c>
      <c r="Q82" s="19">
        <v>75</v>
      </c>
      <c r="R82" s="19">
        <v>77</v>
      </c>
      <c r="S82" s="19">
        <v>77</v>
      </c>
      <c r="T82" s="19">
        <v>77</v>
      </c>
      <c r="U82" s="19">
        <v>75</v>
      </c>
      <c r="V82" s="19">
        <v>75</v>
      </c>
      <c r="W82" s="19">
        <v>75</v>
      </c>
      <c r="X82" s="19">
        <v>75</v>
      </c>
      <c r="Y82" s="19">
        <v>75</v>
      </c>
      <c r="Z82" s="19">
        <v>75</v>
      </c>
      <c r="AA82" s="19"/>
      <c r="AB82" s="19"/>
      <c r="AC82" s="19"/>
      <c r="AD82" s="19"/>
      <c r="AE82" s="19"/>
      <c r="AF82" s="19"/>
      <c r="AG82" s="19"/>
      <c r="AH82" s="19"/>
      <c r="AI82" s="19"/>
      <c r="AJ82" s="19"/>
      <c r="AK82" s="19"/>
      <c r="AL82" s="19"/>
      <c r="AM82" s="19"/>
      <c r="AN82" s="19"/>
      <c r="AO82" s="19"/>
      <c r="AP82" s="19"/>
      <c r="AQ82" s="19"/>
      <c r="AR82" s="20"/>
      <c r="AS82" s="14"/>
      <c r="AW82" s="33">
        <v>0</v>
      </c>
      <c r="AY82">
        <v>0</v>
      </c>
    </row>
    <row r="83" spans="2:51" x14ac:dyDescent="0.25">
      <c r="B83" s="106" t="s">
        <v>30</v>
      </c>
      <c r="C83" s="18">
        <v>115</v>
      </c>
      <c r="D83" s="19">
        <v>115</v>
      </c>
      <c r="E83" s="19">
        <v>115</v>
      </c>
      <c r="F83" s="19">
        <v>115</v>
      </c>
      <c r="G83" s="19">
        <v>115</v>
      </c>
      <c r="H83" s="19">
        <v>0</v>
      </c>
      <c r="I83" s="19">
        <v>115</v>
      </c>
      <c r="J83" s="19">
        <v>115</v>
      </c>
      <c r="K83" s="19">
        <v>115</v>
      </c>
      <c r="L83" s="19">
        <v>115</v>
      </c>
      <c r="M83" s="19">
        <v>115</v>
      </c>
      <c r="N83" s="19">
        <v>115</v>
      </c>
      <c r="O83" s="19">
        <v>115</v>
      </c>
      <c r="P83" s="19">
        <v>120</v>
      </c>
      <c r="Q83" s="19">
        <v>115</v>
      </c>
      <c r="R83" s="19">
        <v>115</v>
      </c>
      <c r="S83" s="19">
        <v>115</v>
      </c>
      <c r="T83" s="19">
        <v>115</v>
      </c>
      <c r="U83" s="19">
        <v>115</v>
      </c>
      <c r="V83" s="19">
        <v>115</v>
      </c>
      <c r="W83" s="19">
        <v>115</v>
      </c>
      <c r="X83" s="19">
        <v>115</v>
      </c>
      <c r="Y83" s="19">
        <v>115</v>
      </c>
      <c r="Z83" s="19">
        <v>115</v>
      </c>
      <c r="AA83" s="19"/>
      <c r="AB83" s="19"/>
      <c r="AC83" s="19"/>
      <c r="AD83" s="19"/>
      <c r="AE83" s="19"/>
      <c r="AF83" s="19"/>
      <c r="AG83" s="19"/>
      <c r="AH83" s="19"/>
      <c r="AI83" s="19"/>
      <c r="AJ83" s="19"/>
      <c r="AK83" s="19"/>
      <c r="AL83" s="19"/>
      <c r="AM83" s="19"/>
      <c r="AN83" s="19"/>
      <c r="AO83" s="19"/>
      <c r="AP83" s="19"/>
      <c r="AQ83" s="19"/>
      <c r="AR83" s="20"/>
      <c r="AS83" s="14"/>
      <c r="AW83" s="33">
        <v>0</v>
      </c>
      <c r="AY83">
        <v>0</v>
      </c>
    </row>
    <row r="84" spans="2:51" x14ac:dyDescent="0.25">
      <c r="B84" s="106" t="s">
        <v>124</v>
      </c>
      <c r="C84" s="18">
        <v>115</v>
      </c>
      <c r="D84" s="19">
        <v>115</v>
      </c>
      <c r="E84" s="19">
        <v>115</v>
      </c>
      <c r="F84" s="19">
        <v>115</v>
      </c>
      <c r="G84" s="19">
        <v>115</v>
      </c>
      <c r="H84" s="19">
        <v>0</v>
      </c>
      <c r="I84" s="19">
        <v>115</v>
      </c>
      <c r="J84" s="19">
        <v>115</v>
      </c>
      <c r="K84" s="19">
        <v>115</v>
      </c>
      <c r="L84" s="19">
        <v>115</v>
      </c>
      <c r="M84" s="19">
        <v>115</v>
      </c>
      <c r="N84" s="19">
        <v>115</v>
      </c>
      <c r="O84" s="19">
        <v>115</v>
      </c>
      <c r="P84" s="19">
        <v>120</v>
      </c>
      <c r="Q84" s="19">
        <v>115</v>
      </c>
      <c r="R84" s="19">
        <v>115</v>
      </c>
      <c r="S84" s="19">
        <v>115</v>
      </c>
      <c r="T84" s="19">
        <v>115</v>
      </c>
      <c r="U84" s="19">
        <v>115</v>
      </c>
      <c r="V84" s="19">
        <v>115</v>
      </c>
      <c r="W84" s="19">
        <v>115</v>
      </c>
      <c r="X84" s="19">
        <v>115</v>
      </c>
      <c r="Y84" s="19">
        <v>115</v>
      </c>
      <c r="Z84" s="19">
        <v>115</v>
      </c>
      <c r="AA84" s="19"/>
      <c r="AB84" s="19"/>
      <c r="AC84" s="19"/>
      <c r="AD84" s="19"/>
      <c r="AE84" s="19"/>
      <c r="AF84" s="19"/>
      <c r="AG84" s="19"/>
      <c r="AH84" s="19"/>
      <c r="AI84" s="19"/>
      <c r="AJ84" s="19"/>
      <c r="AK84" s="19"/>
      <c r="AL84" s="19"/>
      <c r="AM84" s="19"/>
      <c r="AN84" s="19"/>
      <c r="AO84" s="19"/>
      <c r="AP84" s="19"/>
      <c r="AQ84" s="19"/>
      <c r="AR84" s="20"/>
      <c r="AS84" s="14"/>
      <c r="AW84" s="33">
        <v>0</v>
      </c>
      <c r="AY84">
        <v>0</v>
      </c>
    </row>
    <row r="85" spans="2:51" x14ac:dyDescent="0.25">
      <c r="B85" s="106" t="s">
        <v>19</v>
      </c>
      <c r="C85" s="18">
        <v>73</v>
      </c>
      <c r="D85" s="19">
        <v>73</v>
      </c>
      <c r="E85" s="19">
        <v>73</v>
      </c>
      <c r="F85" s="19">
        <v>73</v>
      </c>
      <c r="G85" s="19">
        <v>73</v>
      </c>
      <c r="H85" s="19">
        <v>0</v>
      </c>
      <c r="I85" s="19">
        <v>73</v>
      </c>
      <c r="J85" s="19">
        <v>73</v>
      </c>
      <c r="K85" s="19">
        <v>73</v>
      </c>
      <c r="L85" s="19">
        <v>73</v>
      </c>
      <c r="M85" s="19">
        <v>70</v>
      </c>
      <c r="N85" s="19">
        <v>73</v>
      </c>
      <c r="O85" s="19">
        <v>73</v>
      </c>
      <c r="P85" s="19">
        <v>73</v>
      </c>
      <c r="Q85" s="19">
        <v>73</v>
      </c>
      <c r="R85" s="19">
        <v>73</v>
      </c>
      <c r="S85" s="19">
        <v>73</v>
      </c>
      <c r="T85" s="19">
        <v>73</v>
      </c>
      <c r="U85" s="19">
        <v>73</v>
      </c>
      <c r="V85" s="19">
        <v>73</v>
      </c>
      <c r="W85" s="19">
        <v>73</v>
      </c>
      <c r="X85" s="19">
        <v>70</v>
      </c>
      <c r="Y85" s="19">
        <v>73</v>
      </c>
      <c r="Z85" s="19">
        <v>73</v>
      </c>
      <c r="AA85" s="19"/>
      <c r="AB85" s="19"/>
      <c r="AC85" s="19"/>
      <c r="AD85" s="19"/>
      <c r="AE85" s="19"/>
      <c r="AF85" s="19"/>
      <c r="AG85" s="19"/>
      <c r="AH85" s="19"/>
      <c r="AI85" s="19"/>
      <c r="AJ85" s="19"/>
      <c r="AK85" s="19"/>
      <c r="AL85" s="19"/>
      <c r="AM85" s="19"/>
      <c r="AN85" s="19"/>
      <c r="AO85" s="19"/>
      <c r="AP85" s="19"/>
      <c r="AQ85" s="19"/>
      <c r="AR85" s="20"/>
      <c r="AS85" s="14"/>
      <c r="AW85" s="33">
        <v>0</v>
      </c>
      <c r="AY85">
        <v>0</v>
      </c>
    </row>
    <row r="86" spans="2:51" x14ac:dyDescent="0.25">
      <c r="B86" s="106" t="s">
        <v>5</v>
      </c>
      <c r="C86" s="18">
        <v>88</v>
      </c>
      <c r="D86" s="19">
        <v>88</v>
      </c>
      <c r="E86" s="19">
        <v>87</v>
      </c>
      <c r="F86" s="19">
        <v>87</v>
      </c>
      <c r="G86" s="19">
        <v>87</v>
      </c>
      <c r="H86" s="19">
        <v>0</v>
      </c>
      <c r="I86" s="19">
        <v>87</v>
      </c>
      <c r="J86" s="19">
        <v>87</v>
      </c>
      <c r="K86" s="19">
        <v>87</v>
      </c>
      <c r="L86" s="19">
        <v>87</v>
      </c>
      <c r="M86" s="19">
        <v>87</v>
      </c>
      <c r="N86" s="19">
        <v>88</v>
      </c>
      <c r="O86" s="19">
        <v>88</v>
      </c>
      <c r="P86" s="19">
        <v>88</v>
      </c>
      <c r="Q86" s="19">
        <v>87</v>
      </c>
      <c r="R86" s="19">
        <v>88</v>
      </c>
      <c r="S86" s="19">
        <v>88</v>
      </c>
      <c r="T86" s="19">
        <v>88</v>
      </c>
      <c r="U86" s="19">
        <v>87</v>
      </c>
      <c r="V86" s="19">
        <v>87</v>
      </c>
      <c r="W86" s="19">
        <v>87</v>
      </c>
      <c r="X86" s="19">
        <v>87</v>
      </c>
      <c r="Y86" s="19">
        <v>87</v>
      </c>
      <c r="Z86" s="19">
        <v>87</v>
      </c>
      <c r="AA86" s="19"/>
      <c r="AB86" s="19"/>
      <c r="AC86" s="19"/>
      <c r="AD86" s="19"/>
      <c r="AE86" s="19"/>
      <c r="AF86" s="19"/>
      <c r="AG86" s="19"/>
      <c r="AH86" s="19"/>
      <c r="AI86" s="19"/>
      <c r="AJ86" s="19"/>
      <c r="AK86" s="19"/>
      <c r="AL86" s="19"/>
      <c r="AM86" s="19"/>
      <c r="AN86" s="19"/>
      <c r="AO86" s="19"/>
      <c r="AP86" s="19"/>
      <c r="AQ86" s="19"/>
      <c r="AR86" s="20"/>
      <c r="AS86" s="14"/>
      <c r="AW86" s="33">
        <v>0</v>
      </c>
      <c r="AY86">
        <v>0</v>
      </c>
    </row>
    <row r="87" spans="2:51" x14ac:dyDescent="0.25">
      <c r="B87" s="106" t="s">
        <v>125</v>
      </c>
      <c r="C87" s="18">
        <v>70</v>
      </c>
      <c r="D87" s="19">
        <v>70</v>
      </c>
      <c r="E87" s="19">
        <v>65</v>
      </c>
      <c r="F87" s="19">
        <v>65</v>
      </c>
      <c r="G87" s="19">
        <v>65</v>
      </c>
      <c r="H87" s="19">
        <v>0</v>
      </c>
      <c r="I87" s="19">
        <v>65</v>
      </c>
      <c r="J87" s="19">
        <v>65</v>
      </c>
      <c r="K87" s="19">
        <v>65</v>
      </c>
      <c r="L87" s="19">
        <v>65</v>
      </c>
      <c r="M87" s="19">
        <v>65</v>
      </c>
      <c r="N87" s="19">
        <v>70</v>
      </c>
      <c r="O87" s="19">
        <v>70</v>
      </c>
      <c r="P87" s="19">
        <v>70</v>
      </c>
      <c r="Q87" s="19">
        <v>65</v>
      </c>
      <c r="R87" s="19">
        <v>70</v>
      </c>
      <c r="S87" s="19">
        <v>70</v>
      </c>
      <c r="T87" s="19">
        <v>70</v>
      </c>
      <c r="U87" s="19">
        <v>65</v>
      </c>
      <c r="V87" s="19">
        <v>65</v>
      </c>
      <c r="W87" s="19">
        <v>65</v>
      </c>
      <c r="X87" s="19">
        <v>65</v>
      </c>
      <c r="Y87" s="19">
        <v>65</v>
      </c>
      <c r="Z87" s="19">
        <v>65</v>
      </c>
      <c r="AA87" s="19"/>
      <c r="AB87" s="19"/>
      <c r="AC87" s="19"/>
      <c r="AD87" s="19"/>
      <c r="AE87" s="19"/>
      <c r="AF87" s="19"/>
      <c r="AG87" s="19"/>
      <c r="AH87" s="19"/>
      <c r="AI87" s="19"/>
      <c r="AJ87" s="19"/>
      <c r="AK87" s="19"/>
      <c r="AL87" s="19"/>
      <c r="AM87" s="19"/>
      <c r="AN87" s="19"/>
      <c r="AO87" s="19"/>
      <c r="AP87" s="19"/>
      <c r="AQ87" s="19"/>
      <c r="AR87" s="20"/>
      <c r="AS87" s="14"/>
      <c r="AW87" s="33">
        <v>0</v>
      </c>
      <c r="AY87">
        <v>0</v>
      </c>
    </row>
    <row r="88" spans="2:51" x14ac:dyDescent="0.25">
      <c r="B88" s="106" t="s">
        <v>126</v>
      </c>
      <c r="C88" s="18">
        <v>80</v>
      </c>
      <c r="D88" s="19">
        <v>80</v>
      </c>
      <c r="E88" s="19">
        <v>80</v>
      </c>
      <c r="F88" s="19">
        <v>80</v>
      </c>
      <c r="G88" s="19">
        <v>80</v>
      </c>
      <c r="H88" s="19">
        <v>0</v>
      </c>
      <c r="I88" s="19">
        <v>80</v>
      </c>
      <c r="J88" s="19">
        <v>80</v>
      </c>
      <c r="K88" s="19">
        <v>80</v>
      </c>
      <c r="L88" s="19">
        <v>80</v>
      </c>
      <c r="M88" s="19">
        <v>80</v>
      </c>
      <c r="N88" s="19">
        <v>80</v>
      </c>
      <c r="O88" s="19">
        <v>80</v>
      </c>
      <c r="P88" s="19">
        <v>80</v>
      </c>
      <c r="Q88" s="19">
        <v>80</v>
      </c>
      <c r="R88" s="19">
        <v>80</v>
      </c>
      <c r="S88" s="19">
        <v>80</v>
      </c>
      <c r="T88" s="19">
        <v>80</v>
      </c>
      <c r="U88" s="19">
        <v>80</v>
      </c>
      <c r="V88" s="19">
        <v>80</v>
      </c>
      <c r="W88" s="19">
        <v>80</v>
      </c>
      <c r="X88" s="19">
        <v>80</v>
      </c>
      <c r="Y88" s="19">
        <v>80</v>
      </c>
      <c r="Z88" s="19">
        <v>80</v>
      </c>
      <c r="AA88" s="19"/>
      <c r="AB88" s="19"/>
      <c r="AC88" s="19"/>
      <c r="AD88" s="19"/>
      <c r="AE88" s="19"/>
      <c r="AF88" s="19"/>
      <c r="AG88" s="19"/>
      <c r="AH88" s="19"/>
      <c r="AI88" s="19"/>
      <c r="AJ88" s="19"/>
      <c r="AK88" s="19"/>
      <c r="AL88" s="19"/>
      <c r="AM88" s="19"/>
      <c r="AN88" s="19"/>
      <c r="AO88" s="19"/>
      <c r="AP88" s="19"/>
      <c r="AQ88" s="19"/>
      <c r="AR88" s="20"/>
      <c r="AS88" s="14"/>
      <c r="AW88" s="33">
        <v>0</v>
      </c>
      <c r="AY88">
        <v>0</v>
      </c>
    </row>
    <row r="89" spans="2:51" x14ac:dyDescent="0.25">
      <c r="B89" s="106" t="s">
        <v>127</v>
      </c>
      <c r="C89" s="18">
        <v>80</v>
      </c>
      <c r="D89" s="19">
        <v>80</v>
      </c>
      <c r="E89" s="19">
        <v>80</v>
      </c>
      <c r="F89" s="19">
        <v>80</v>
      </c>
      <c r="G89" s="19">
        <v>80</v>
      </c>
      <c r="H89" s="19">
        <v>0</v>
      </c>
      <c r="I89" s="19">
        <v>80</v>
      </c>
      <c r="J89" s="19">
        <v>80</v>
      </c>
      <c r="K89" s="19">
        <v>80</v>
      </c>
      <c r="L89" s="19">
        <v>80</v>
      </c>
      <c r="M89" s="19">
        <v>80</v>
      </c>
      <c r="N89" s="19">
        <v>80</v>
      </c>
      <c r="O89" s="19">
        <v>80</v>
      </c>
      <c r="P89" s="19">
        <v>80</v>
      </c>
      <c r="Q89" s="19">
        <v>80</v>
      </c>
      <c r="R89" s="19">
        <v>80</v>
      </c>
      <c r="S89" s="19">
        <v>80</v>
      </c>
      <c r="T89" s="19">
        <v>80</v>
      </c>
      <c r="U89" s="19">
        <v>80</v>
      </c>
      <c r="V89" s="19">
        <v>80</v>
      </c>
      <c r="W89" s="19">
        <v>80</v>
      </c>
      <c r="X89" s="19">
        <v>80</v>
      </c>
      <c r="Y89" s="19">
        <v>80</v>
      </c>
      <c r="Z89" s="19">
        <v>80</v>
      </c>
      <c r="AA89" s="19"/>
      <c r="AB89" s="19"/>
      <c r="AC89" s="19"/>
      <c r="AD89" s="19"/>
      <c r="AE89" s="19"/>
      <c r="AF89" s="19"/>
      <c r="AG89" s="19"/>
      <c r="AH89" s="19"/>
      <c r="AI89" s="19"/>
      <c r="AJ89" s="19"/>
      <c r="AK89" s="19"/>
      <c r="AL89" s="19"/>
      <c r="AM89" s="19"/>
      <c r="AN89" s="19"/>
      <c r="AO89" s="19"/>
      <c r="AP89" s="19"/>
      <c r="AQ89" s="19"/>
      <c r="AR89" s="20"/>
      <c r="AS89" s="14"/>
      <c r="AW89" s="33">
        <v>0</v>
      </c>
      <c r="AY89">
        <v>0</v>
      </c>
    </row>
    <row r="90" spans="2:51" x14ac:dyDescent="0.25">
      <c r="B90" s="106" t="s">
        <v>39</v>
      </c>
      <c r="C90" s="18">
        <v>85</v>
      </c>
      <c r="D90" s="19">
        <v>85</v>
      </c>
      <c r="E90" s="19">
        <v>83</v>
      </c>
      <c r="F90" s="19">
        <v>83</v>
      </c>
      <c r="G90" s="19">
        <v>83</v>
      </c>
      <c r="H90" s="19">
        <v>0</v>
      </c>
      <c r="I90" s="19">
        <v>83</v>
      </c>
      <c r="J90" s="19">
        <v>83</v>
      </c>
      <c r="K90" s="19">
        <v>83</v>
      </c>
      <c r="L90" s="19">
        <v>83</v>
      </c>
      <c r="M90" s="19">
        <v>83</v>
      </c>
      <c r="N90" s="19">
        <v>85</v>
      </c>
      <c r="O90" s="19">
        <v>85</v>
      </c>
      <c r="P90" s="19">
        <v>85</v>
      </c>
      <c r="Q90" s="19">
        <v>83</v>
      </c>
      <c r="R90" s="19">
        <v>85</v>
      </c>
      <c r="S90" s="19">
        <v>85</v>
      </c>
      <c r="T90" s="19">
        <v>85</v>
      </c>
      <c r="U90" s="19">
        <v>83</v>
      </c>
      <c r="V90" s="19">
        <v>80</v>
      </c>
      <c r="W90" s="19">
        <v>83</v>
      </c>
      <c r="X90" s="19">
        <v>83</v>
      </c>
      <c r="Y90" s="19">
        <v>83</v>
      </c>
      <c r="Z90" s="19">
        <v>83</v>
      </c>
      <c r="AA90" s="19"/>
      <c r="AB90" s="19"/>
      <c r="AC90" s="19"/>
      <c r="AD90" s="19"/>
      <c r="AE90" s="19"/>
      <c r="AF90" s="19"/>
      <c r="AG90" s="19"/>
      <c r="AH90" s="19"/>
      <c r="AI90" s="19"/>
      <c r="AJ90" s="19"/>
      <c r="AK90" s="19"/>
      <c r="AL90" s="19"/>
      <c r="AM90" s="19"/>
      <c r="AN90" s="19"/>
      <c r="AO90" s="19"/>
      <c r="AP90" s="19"/>
      <c r="AQ90" s="19"/>
      <c r="AR90" s="20"/>
      <c r="AS90" s="14"/>
      <c r="AW90" s="33">
        <v>0</v>
      </c>
      <c r="AY90">
        <v>0</v>
      </c>
    </row>
    <row r="91" spans="2:51" x14ac:dyDescent="0.25">
      <c r="B91" s="106" t="s">
        <v>128</v>
      </c>
      <c r="C91" s="18">
        <v>80</v>
      </c>
      <c r="D91" s="19">
        <v>80</v>
      </c>
      <c r="E91" s="19">
        <v>80</v>
      </c>
      <c r="F91" s="19">
        <v>80</v>
      </c>
      <c r="G91" s="19">
        <v>80</v>
      </c>
      <c r="H91" s="19">
        <v>0</v>
      </c>
      <c r="I91" s="19">
        <v>80</v>
      </c>
      <c r="J91" s="19">
        <v>80</v>
      </c>
      <c r="K91" s="19">
        <v>80</v>
      </c>
      <c r="L91" s="19">
        <v>80</v>
      </c>
      <c r="M91" s="19">
        <v>80</v>
      </c>
      <c r="N91" s="19">
        <v>80</v>
      </c>
      <c r="O91" s="19">
        <v>80</v>
      </c>
      <c r="P91" s="19">
        <v>80</v>
      </c>
      <c r="Q91" s="19">
        <v>80</v>
      </c>
      <c r="R91" s="19">
        <v>80</v>
      </c>
      <c r="S91" s="19">
        <v>80</v>
      </c>
      <c r="T91" s="19">
        <v>80</v>
      </c>
      <c r="U91" s="19">
        <v>80</v>
      </c>
      <c r="V91" s="19">
        <v>80</v>
      </c>
      <c r="W91" s="19">
        <v>80</v>
      </c>
      <c r="X91" s="19">
        <v>80</v>
      </c>
      <c r="Y91" s="19">
        <v>80</v>
      </c>
      <c r="Z91" s="19">
        <v>80</v>
      </c>
      <c r="AA91" s="19"/>
      <c r="AB91" s="19"/>
      <c r="AC91" s="19"/>
      <c r="AD91" s="19"/>
      <c r="AE91" s="19"/>
      <c r="AF91" s="19"/>
      <c r="AG91" s="19"/>
      <c r="AH91" s="19"/>
      <c r="AI91" s="19"/>
      <c r="AJ91" s="19"/>
      <c r="AK91" s="19"/>
      <c r="AL91" s="19"/>
      <c r="AM91" s="19"/>
      <c r="AN91" s="19"/>
      <c r="AO91" s="19"/>
      <c r="AP91" s="19"/>
      <c r="AQ91" s="19"/>
      <c r="AR91" s="20"/>
      <c r="AS91" s="14"/>
      <c r="AW91" s="33">
        <v>0</v>
      </c>
      <c r="AY91">
        <v>0</v>
      </c>
    </row>
    <row r="92" spans="2:51" x14ac:dyDescent="0.25">
      <c r="B92" s="106" t="s">
        <v>129</v>
      </c>
      <c r="C92" s="18">
        <v>80</v>
      </c>
      <c r="D92" s="19">
        <v>80</v>
      </c>
      <c r="E92" s="19">
        <v>80</v>
      </c>
      <c r="F92" s="19">
        <v>80</v>
      </c>
      <c r="G92" s="19">
        <v>80</v>
      </c>
      <c r="H92" s="19">
        <v>0</v>
      </c>
      <c r="I92" s="19">
        <v>80</v>
      </c>
      <c r="J92" s="19">
        <v>80</v>
      </c>
      <c r="K92" s="19">
        <v>80</v>
      </c>
      <c r="L92" s="19">
        <v>80</v>
      </c>
      <c r="M92" s="19">
        <v>80</v>
      </c>
      <c r="N92" s="19">
        <v>80</v>
      </c>
      <c r="O92" s="19">
        <v>80</v>
      </c>
      <c r="P92" s="19">
        <v>80</v>
      </c>
      <c r="Q92" s="19">
        <v>80</v>
      </c>
      <c r="R92" s="19">
        <v>80</v>
      </c>
      <c r="S92" s="19">
        <v>80</v>
      </c>
      <c r="T92" s="19">
        <v>80</v>
      </c>
      <c r="U92" s="19">
        <v>80</v>
      </c>
      <c r="V92" s="19">
        <v>80</v>
      </c>
      <c r="W92" s="19">
        <v>80</v>
      </c>
      <c r="X92" s="19">
        <v>80</v>
      </c>
      <c r="Y92" s="19">
        <v>80</v>
      </c>
      <c r="Z92" s="19">
        <v>80</v>
      </c>
      <c r="AA92" s="19"/>
      <c r="AB92" s="19"/>
      <c r="AC92" s="19"/>
      <c r="AD92" s="19"/>
      <c r="AE92" s="19"/>
      <c r="AF92" s="19"/>
      <c r="AG92" s="19"/>
      <c r="AH92" s="19"/>
      <c r="AI92" s="19"/>
      <c r="AJ92" s="19"/>
      <c r="AK92" s="19"/>
      <c r="AL92" s="19"/>
      <c r="AM92" s="19"/>
      <c r="AN92" s="19"/>
      <c r="AO92" s="19"/>
      <c r="AP92" s="19"/>
      <c r="AQ92" s="19"/>
      <c r="AR92" s="20"/>
      <c r="AS92" s="14"/>
      <c r="AW92" s="33">
        <v>0</v>
      </c>
      <c r="AY92">
        <v>0</v>
      </c>
    </row>
    <row r="93" spans="2:51" x14ac:dyDescent="0.25">
      <c r="B93" s="106" t="s">
        <v>130</v>
      </c>
      <c r="C93" s="18">
        <v>80</v>
      </c>
      <c r="D93" s="19">
        <v>80</v>
      </c>
      <c r="E93" s="19">
        <v>80</v>
      </c>
      <c r="F93" s="19">
        <v>80</v>
      </c>
      <c r="G93" s="19">
        <v>80</v>
      </c>
      <c r="H93" s="19">
        <v>0</v>
      </c>
      <c r="I93" s="19">
        <v>80</v>
      </c>
      <c r="J93" s="19">
        <v>80</v>
      </c>
      <c r="K93" s="19">
        <v>80</v>
      </c>
      <c r="L93" s="19">
        <v>80</v>
      </c>
      <c r="M93" s="19">
        <v>80</v>
      </c>
      <c r="N93" s="19">
        <v>80</v>
      </c>
      <c r="O93" s="19">
        <v>80</v>
      </c>
      <c r="P93" s="19">
        <v>80</v>
      </c>
      <c r="Q93" s="19">
        <v>80</v>
      </c>
      <c r="R93" s="19">
        <v>80</v>
      </c>
      <c r="S93" s="19">
        <v>80</v>
      </c>
      <c r="T93" s="19">
        <v>80</v>
      </c>
      <c r="U93" s="19">
        <v>80</v>
      </c>
      <c r="V93" s="19">
        <v>80</v>
      </c>
      <c r="W93" s="19">
        <v>80</v>
      </c>
      <c r="X93" s="19">
        <v>80</v>
      </c>
      <c r="Y93" s="19">
        <v>80</v>
      </c>
      <c r="Z93" s="19">
        <v>80</v>
      </c>
      <c r="AA93" s="19"/>
      <c r="AB93" s="19"/>
      <c r="AC93" s="19"/>
      <c r="AD93" s="19"/>
      <c r="AE93" s="19"/>
      <c r="AF93" s="19"/>
      <c r="AG93" s="19"/>
      <c r="AH93" s="19"/>
      <c r="AI93" s="19"/>
      <c r="AJ93" s="19"/>
      <c r="AK93" s="19"/>
      <c r="AL93" s="19"/>
      <c r="AM93" s="19"/>
      <c r="AN93" s="19"/>
      <c r="AO93" s="19"/>
      <c r="AP93" s="19"/>
      <c r="AQ93" s="19"/>
      <c r="AR93" s="20"/>
      <c r="AS93" s="14"/>
      <c r="AW93" s="33">
        <v>0</v>
      </c>
      <c r="AY93">
        <v>0</v>
      </c>
    </row>
    <row r="94" spans="2:51" x14ac:dyDescent="0.25">
      <c r="B94" s="106" t="s">
        <v>131</v>
      </c>
      <c r="C94" s="18">
        <v>80</v>
      </c>
      <c r="D94" s="19">
        <v>80</v>
      </c>
      <c r="E94" s="19">
        <v>80</v>
      </c>
      <c r="F94" s="19">
        <v>80</v>
      </c>
      <c r="G94" s="19">
        <v>80</v>
      </c>
      <c r="H94" s="19">
        <v>0</v>
      </c>
      <c r="I94" s="19">
        <v>80</v>
      </c>
      <c r="J94" s="19">
        <v>80</v>
      </c>
      <c r="K94" s="19">
        <v>80</v>
      </c>
      <c r="L94" s="19">
        <v>80</v>
      </c>
      <c r="M94" s="19">
        <v>80</v>
      </c>
      <c r="N94" s="19">
        <v>80</v>
      </c>
      <c r="O94" s="19">
        <v>80</v>
      </c>
      <c r="P94" s="19">
        <v>80</v>
      </c>
      <c r="Q94" s="19">
        <v>80</v>
      </c>
      <c r="R94" s="19">
        <v>80</v>
      </c>
      <c r="S94" s="19">
        <v>80</v>
      </c>
      <c r="T94" s="19">
        <v>80</v>
      </c>
      <c r="U94" s="19">
        <v>80</v>
      </c>
      <c r="V94" s="19">
        <v>80</v>
      </c>
      <c r="W94" s="19">
        <v>80</v>
      </c>
      <c r="X94" s="19">
        <v>80</v>
      </c>
      <c r="Y94" s="19">
        <v>80</v>
      </c>
      <c r="Z94" s="19">
        <v>80</v>
      </c>
      <c r="AA94" s="19"/>
      <c r="AB94" s="19"/>
      <c r="AC94" s="19"/>
      <c r="AD94" s="19"/>
      <c r="AE94" s="19"/>
      <c r="AF94" s="19"/>
      <c r="AG94" s="19"/>
      <c r="AH94" s="19"/>
      <c r="AI94" s="19"/>
      <c r="AJ94" s="19"/>
      <c r="AK94" s="19"/>
      <c r="AL94" s="19"/>
      <c r="AM94" s="19"/>
      <c r="AN94" s="19"/>
      <c r="AO94" s="19"/>
      <c r="AP94" s="19"/>
      <c r="AQ94" s="19"/>
      <c r="AR94" s="20"/>
      <c r="AS94" s="14"/>
      <c r="AW94" s="33">
        <v>0</v>
      </c>
      <c r="AY94">
        <v>0</v>
      </c>
    </row>
    <row r="95" spans="2:51" x14ac:dyDescent="0.25">
      <c r="B95" s="106" t="s">
        <v>132</v>
      </c>
      <c r="C95" s="18">
        <v>80</v>
      </c>
      <c r="D95" s="19">
        <v>80</v>
      </c>
      <c r="E95" s="19">
        <v>80</v>
      </c>
      <c r="F95" s="19">
        <v>80</v>
      </c>
      <c r="G95" s="19">
        <v>80</v>
      </c>
      <c r="H95" s="19">
        <v>0</v>
      </c>
      <c r="I95" s="19">
        <v>80</v>
      </c>
      <c r="J95" s="19">
        <v>80</v>
      </c>
      <c r="K95" s="19">
        <v>80</v>
      </c>
      <c r="L95" s="19">
        <v>80</v>
      </c>
      <c r="M95" s="19">
        <v>80</v>
      </c>
      <c r="N95" s="19">
        <v>80</v>
      </c>
      <c r="O95" s="19">
        <v>80</v>
      </c>
      <c r="P95" s="19">
        <v>80</v>
      </c>
      <c r="Q95" s="19">
        <v>80</v>
      </c>
      <c r="R95" s="19">
        <v>80</v>
      </c>
      <c r="S95" s="19">
        <v>80</v>
      </c>
      <c r="T95" s="19">
        <v>80</v>
      </c>
      <c r="U95" s="19">
        <v>80</v>
      </c>
      <c r="V95" s="19">
        <v>80</v>
      </c>
      <c r="W95" s="19">
        <v>80</v>
      </c>
      <c r="X95" s="19">
        <v>80</v>
      </c>
      <c r="Y95" s="19">
        <v>80</v>
      </c>
      <c r="Z95" s="19">
        <v>80</v>
      </c>
      <c r="AA95" s="19"/>
      <c r="AB95" s="19"/>
      <c r="AC95" s="19"/>
      <c r="AD95" s="19"/>
      <c r="AE95" s="19"/>
      <c r="AF95" s="19"/>
      <c r="AG95" s="19"/>
      <c r="AH95" s="19"/>
      <c r="AI95" s="19"/>
      <c r="AJ95" s="19"/>
      <c r="AK95" s="19"/>
      <c r="AL95" s="19"/>
      <c r="AM95" s="19"/>
      <c r="AN95" s="19"/>
      <c r="AO95" s="19"/>
      <c r="AP95" s="19"/>
      <c r="AQ95" s="19"/>
      <c r="AR95" s="20"/>
      <c r="AS95" s="14"/>
      <c r="AW95" s="33">
        <v>0</v>
      </c>
      <c r="AY95">
        <v>0</v>
      </c>
    </row>
    <row r="96" spans="2:51" x14ac:dyDescent="0.25">
      <c r="B96" s="106" t="s">
        <v>133</v>
      </c>
      <c r="C96" s="18">
        <v>80</v>
      </c>
      <c r="D96" s="19">
        <v>80</v>
      </c>
      <c r="E96" s="19">
        <v>80</v>
      </c>
      <c r="F96" s="19">
        <v>80</v>
      </c>
      <c r="G96" s="19">
        <v>80</v>
      </c>
      <c r="H96" s="19">
        <v>0</v>
      </c>
      <c r="I96" s="19">
        <v>80</v>
      </c>
      <c r="J96" s="19">
        <v>80</v>
      </c>
      <c r="K96" s="19">
        <v>80</v>
      </c>
      <c r="L96" s="19">
        <v>80</v>
      </c>
      <c r="M96" s="19">
        <v>80</v>
      </c>
      <c r="N96" s="19">
        <v>80</v>
      </c>
      <c r="O96" s="19">
        <v>80</v>
      </c>
      <c r="P96" s="19">
        <v>80</v>
      </c>
      <c r="Q96" s="19">
        <v>80</v>
      </c>
      <c r="R96" s="19">
        <v>80</v>
      </c>
      <c r="S96" s="19">
        <v>80</v>
      </c>
      <c r="T96" s="19">
        <v>80</v>
      </c>
      <c r="U96" s="19">
        <v>80</v>
      </c>
      <c r="V96" s="19">
        <v>80</v>
      </c>
      <c r="W96" s="19">
        <v>80</v>
      </c>
      <c r="X96" s="19">
        <v>80</v>
      </c>
      <c r="Y96" s="19">
        <v>80</v>
      </c>
      <c r="Z96" s="19">
        <v>80</v>
      </c>
      <c r="AA96" s="19"/>
      <c r="AB96" s="19"/>
      <c r="AC96" s="19"/>
      <c r="AD96" s="19"/>
      <c r="AE96" s="19"/>
      <c r="AF96" s="19"/>
      <c r="AG96" s="19"/>
      <c r="AH96" s="19"/>
      <c r="AI96" s="19"/>
      <c r="AJ96" s="19"/>
      <c r="AK96" s="19"/>
      <c r="AL96" s="19"/>
      <c r="AM96" s="19"/>
      <c r="AN96" s="19"/>
      <c r="AO96" s="19"/>
      <c r="AP96" s="19"/>
      <c r="AQ96" s="19"/>
      <c r="AR96" s="20"/>
      <c r="AS96" s="14"/>
      <c r="AW96" s="33">
        <v>0</v>
      </c>
      <c r="AY96">
        <v>0</v>
      </c>
    </row>
    <row r="97" spans="2:51" x14ac:dyDescent="0.25">
      <c r="B97" s="106" t="s">
        <v>134</v>
      </c>
      <c r="C97" s="18">
        <v>80</v>
      </c>
      <c r="D97" s="19">
        <v>80</v>
      </c>
      <c r="E97" s="19">
        <v>80</v>
      </c>
      <c r="F97" s="19">
        <v>80</v>
      </c>
      <c r="G97" s="19">
        <v>80</v>
      </c>
      <c r="H97" s="19">
        <v>0</v>
      </c>
      <c r="I97" s="19">
        <v>80</v>
      </c>
      <c r="J97" s="19">
        <v>80</v>
      </c>
      <c r="K97" s="19">
        <v>80</v>
      </c>
      <c r="L97" s="19">
        <v>80</v>
      </c>
      <c r="M97" s="19">
        <v>80</v>
      </c>
      <c r="N97" s="19">
        <v>80</v>
      </c>
      <c r="O97" s="19">
        <v>80</v>
      </c>
      <c r="P97" s="19">
        <v>80</v>
      </c>
      <c r="Q97" s="19">
        <v>80</v>
      </c>
      <c r="R97" s="19">
        <v>80</v>
      </c>
      <c r="S97" s="19">
        <v>80</v>
      </c>
      <c r="T97" s="19">
        <v>80</v>
      </c>
      <c r="U97" s="19">
        <v>80</v>
      </c>
      <c r="V97" s="19">
        <v>80</v>
      </c>
      <c r="W97" s="19">
        <v>80</v>
      </c>
      <c r="X97" s="19">
        <v>80</v>
      </c>
      <c r="Y97" s="19">
        <v>80</v>
      </c>
      <c r="Z97" s="19">
        <v>80</v>
      </c>
      <c r="AA97" s="19"/>
      <c r="AB97" s="19"/>
      <c r="AC97" s="19"/>
      <c r="AD97" s="19"/>
      <c r="AE97" s="19"/>
      <c r="AF97" s="19"/>
      <c r="AG97" s="19"/>
      <c r="AH97" s="19"/>
      <c r="AI97" s="19"/>
      <c r="AJ97" s="19"/>
      <c r="AK97" s="19"/>
      <c r="AL97" s="19"/>
      <c r="AM97" s="19"/>
      <c r="AN97" s="19"/>
      <c r="AO97" s="19"/>
      <c r="AP97" s="19"/>
      <c r="AQ97" s="19"/>
      <c r="AR97" s="20"/>
      <c r="AS97" s="14"/>
      <c r="AW97" s="33">
        <v>0</v>
      </c>
      <c r="AY97">
        <v>0</v>
      </c>
    </row>
    <row r="98" spans="2:51" x14ac:dyDescent="0.25">
      <c r="B98" s="106" t="s">
        <v>135</v>
      </c>
      <c r="C98" s="18">
        <v>80</v>
      </c>
      <c r="D98" s="19">
        <v>80</v>
      </c>
      <c r="E98" s="19">
        <v>80</v>
      </c>
      <c r="F98" s="19">
        <v>80</v>
      </c>
      <c r="G98" s="19">
        <v>80</v>
      </c>
      <c r="H98" s="19">
        <v>0</v>
      </c>
      <c r="I98" s="19">
        <v>80</v>
      </c>
      <c r="J98" s="19">
        <v>80</v>
      </c>
      <c r="K98" s="19">
        <v>80</v>
      </c>
      <c r="L98" s="19">
        <v>80</v>
      </c>
      <c r="M98" s="19">
        <v>80</v>
      </c>
      <c r="N98" s="19">
        <v>80</v>
      </c>
      <c r="O98" s="19">
        <v>80</v>
      </c>
      <c r="P98" s="19">
        <v>80</v>
      </c>
      <c r="Q98" s="19">
        <v>80</v>
      </c>
      <c r="R98" s="19">
        <v>80</v>
      </c>
      <c r="S98" s="19">
        <v>80</v>
      </c>
      <c r="T98" s="19">
        <v>80</v>
      </c>
      <c r="U98" s="19">
        <v>80</v>
      </c>
      <c r="V98" s="19">
        <v>80</v>
      </c>
      <c r="W98" s="19">
        <v>80</v>
      </c>
      <c r="X98" s="19">
        <v>80</v>
      </c>
      <c r="Y98" s="19">
        <v>80</v>
      </c>
      <c r="Z98" s="19">
        <v>80</v>
      </c>
      <c r="AA98" s="19"/>
      <c r="AB98" s="19"/>
      <c r="AC98" s="19"/>
      <c r="AD98" s="19"/>
      <c r="AE98" s="19"/>
      <c r="AF98" s="19"/>
      <c r="AG98" s="19"/>
      <c r="AH98" s="19"/>
      <c r="AI98" s="19"/>
      <c r="AJ98" s="19"/>
      <c r="AK98" s="19"/>
      <c r="AL98" s="19"/>
      <c r="AM98" s="19"/>
      <c r="AN98" s="19"/>
      <c r="AO98" s="19"/>
      <c r="AP98" s="19"/>
      <c r="AQ98" s="19"/>
      <c r="AR98" s="20"/>
      <c r="AS98" s="14"/>
      <c r="AW98" s="33">
        <v>0</v>
      </c>
      <c r="AY98">
        <v>0</v>
      </c>
    </row>
    <row r="99" spans="2:51" x14ac:dyDescent="0.25">
      <c r="B99" s="106" t="s">
        <v>136</v>
      </c>
      <c r="C99" s="18">
        <v>85</v>
      </c>
      <c r="D99" s="19">
        <v>85</v>
      </c>
      <c r="E99" s="19">
        <v>83</v>
      </c>
      <c r="F99" s="19">
        <v>83</v>
      </c>
      <c r="G99" s="19">
        <v>83</v>
      </c>
      <c r="H99" s="19">
        <v>0</v>
      </c>
      <c r="I99" s="19">
        <v>83</v>
      </c>
      <c r="J99" s="19">
        <v>83</v>
      </c>
      <c r="K99" s="19">
        <v>83</v>
      </c>
      <c r="L99" s="19">
        <v>83</v>
      </c>
      <c r="M99" s="19">
        <v>83</v>
      </c>
      <c r="N99" s="19">
        <v>85</v>
      </c>
      <c r="O99" s="19">
        <v>85</v>
      </c>
      <c r="P99" s="19">
        <v>87</v>
      </c>
      <c r="Q99" s="19">
        <v>83</v>
      </c>
      <c r="R99" s="19">
        <v>85</v>
      </c>
      <c r="S99" s="19">
        <v>85</v>
      </c>
      <c r="T99" s="19">
        <v>85</v>
      </c>
      <c r="U99" s="19">
        <v>83</v>
      </c>
      <c r="V99" s="19">
        <v>83</v>
      </c>
      <c r="W99" s="19">
        <v>83</v>
      </c>
      <c r="X99" s="19">
        <v>83</v>
      </c>
      <c r="Y99" s="19">
        <v>83</v>
      </c>
      <c r="Z99" s="19">
        <v>85</v>
      </c>
      <c r="AA99" s="19"/>
      <c r="AB99" s="19"/>
      <c r="AC99" s="19"/>
      <c r="AD99" s="19"/>
      <c r="AE99" s="19"/>
      <c r="AF99" s="19"/>
      <c r="AG99" s="19"/>
      <c r="AH99" s="19"/>
      <c r="AI99" s="19"/>
      <c r="AJ99" s="19"/>
      <c r="AK99" s="19"/>
      <c r="AL99" s="19"/>
      <c r="AM99" s="19"/>
      <c r="AN99" s="19"/>
      <c r="AO99" s="19"/>
      <c r="AP99" s="19"/>
      <c r="AQ99" s="19"/>
      <c r="AR99" s="20"/>
      <c r="AS99" s="14"/>
      <c r="AW99" s="33">
        <v>0</v>
      </c>
      <c r="AY99">
        <v>0</v>
      </c>
    </row>
    <row r="100" spans="2:51" x14ac:dyDescent="0.25">
      <c r="B100" s="106" t="s">
        <v>137</v>
      </c>
      <c r="C100" s="18">
        <v>75</v>
      </c>
      <c r="D100" s="19">
        <v>75</v>
      </c>
      <c r="E100" s="19">
        <v>73</v>
      </c>
      <c r="F100" s="19">
        <v>73</v>
      </c>
      <c r="G100" s="19">
        <v>73</v>
      </c>
      <c r="H100" s="19">
        <v>0</v>
      </c>
      <c r="I100" s="19">
        <v>73</v>
      </c>
      <c r="J100" s="19">
        <v>73</v>
      </c>
      <c r="K100" s="19">
        <v>73</v>
      </c>
      <c r="L100" s="19">
        <v>73</v>
      </c>
      <c r="M100" s="19">
        <v>73</v>
      </c>
      <c r="N100" s="19">
        <v>75</v>
      </c>
      <c r="O100" s="19">
        <v>75</v>
      </c>
      <c r="P100" s="19">
        <v>75</v>
      </c>
      <c r="Q100" s="19">
        <v>73</v>
      </c>
      <c r="R100" s="19">
        <v>75</v>
      </c>
      <c r="S100" s="19">
        <v>75</v>
      </c>
      <c r="T100" s="19">
        <v>75</v>
      </c>
      <c r="U100" s="19">
        <v>73</v>
      </c>
      <c r="V100" s="19">
        <v>73</v>
      </c>
      <c r="W100" s="19">
        <v>73</v>
      </c>
      <c r="X100" s="19">
        <v>73</v>
      </c>
      <c r="Y100" s="19">
        <v>73</v>
      </c>
      <c r="Z100" s="19">
        <v>75</v>
      </c>
      <c r="AA100" s="19"/>
      <c r="AB100" s="19"/>
      <c r="AC100" s="19"/>
      <c r="AD100" s="19"/>
      <c r="AE100" s="19"/>
      <c r="AF100" s="19"/>
      <c r="AG100" s="19"/>
      <c r="AH100" s="19"/>
      <c r="AI100" s="19"/>
      <c r="AJ100" s="19"/>
      <c r="AK100" s="19"/>
      <c r="AL100" s="19"/>
      <c r="AM100" s="19"/>
      <c r="AN100" s="19"/>
      <c r="AO100" s="19"/>
      <c r="AP100" s="19"/>
      <c r="AQ100" s="19"/>
      <c r="AR100" s="20"/>
      <c r="AS100" s="14"/>
      <c r="AW100" s="33">
        <v>0</v>
      </c>
      <c r="AY100">
        <v>0</v>
      </c>
    </row>
    <row r="101" spans="2:51" x14ac:dyDescent="0.25">
      <c r="B101" s="106" t="s">
        <v>33</v>
      </c>
      <c r="C101" s="18">
        <v>85</v>
      </c>
      <c r="D101" s="19">
        <v>85</v>
      </c>
      <c r="E101" s="19">
        <v>83</v>
      </c>
      <c r="F101" s="19">
        <v>83</v>
      </c>
      <c r="G101" s="19">
        <v>83</v>
      </c>
      <c r="H101" s="19">
        <v>0</v>
      </c>
      <c r="I101" s="19">
        <v>83</v>
      </c>
      <c r="J101" s="19">
        <v>83</v>
      </c>
      <c r="K101" s="19">
        <v>83</v>
      </c>
      <c r="L101" s="19">
        <v>83</v>
      </c>
      <c r="M101" s="19">
        <v>83</v>
      </c>
      <c r="N101" s="19">
        <v>85</v>
      </c>
      <c r="O101" s="19">
        <v>85</v>
      </c>
      <c r="P101" s="19">
        <v>87</v>
      </c>
      <c r="Q101" s="19">
        <v>83</v>
      </c>
      <c r="R101" s="19">
        <v>85</v>
      </c>
      <c r="S101" s="19">
        <v>85</v>
      </c>
      <c r="T101" s="19">
        <v>85</v>
      </c>
      <c r="U101" s="19">
        <v>83</v>
      </c>
      <c r="V101" s="19">
        <v>83</v>
      </c>
      <c r="W101" s="19">
        <v>83</v>
      </c>
      <c r="X101" s="19">
        <v>83</v>
      </c>
      <c r="Y101" s="19">
        <v>83</v>
      </c>
      <c r="Z101" s="19">
        <v>85</v>
      </c>
      <c r="AA101" s="19"/>
      <c r="AB101" s="19"/>
      <c r="AC101" s="19"/>
      <c r="AD101" s="19"/>
      <c r="AE101" s="19"/>
      <c r="AF101" s="19"/>
      <c r="AG101" s="19"/>
      <c r="AH101" s="19"/>
      <c r="AI101" s="19"/>
      <c r="AJ101" s="19"/>
      <c r="AK101" s="19"/>
      <c r="AL101" s="19"/>
      <c r="AM101" s="19"/>
      <c r="AN101" s="19"/>
      <c r="AO101" s="19"/>
      <c r="AP101" s="19"/>
      <c r="AQ101" s="19"/>
      <c r="AR101" s="20"/>
      <c r="AS101" s="14"/>
      <c r="AW101" s="33">
        <v>0</v>
      </c>
      <c r="AY101">
        <v>0</v>
      </c>
    </row>
    <row r="102" spans="2:51" x14ac:dyDescent="0.25">
      <c r="B102" s="106" t="s">
        <v>138</v>
      </c>
      <c r="C102" s="18">
        <v>75</v>
      </c>
      <c r="D102" s="19">
        <v>75</v>
      </c>
      <c r="E102" s="19">
        <v>75</v>
      </c>
      <c r="F102" s="19">
        <v>75</v>
      </c>
      <c r="G102" s="19">
        <v>75</v>
      </c>
      <c r="H102" s="19">
        <v>0</v>
      </c>
      <c r="I102" s="19">
        <v>75</v>
      </c>
      <c r="J102" s="19">
        <v>75</v>
      </c>
      <c r="K102" s="19">
        <v>75</v>
      </c>
      <c r="L102" s="19">
        <v>75</v>
      </c>
      <c r="M102" s="19">
        <v>75</v>
      </c>
      <c r="N102" s="19">
        <v>75</v>
      </c>
      <c r="O102" s="19">
        <v>75</v>
      </c>
      <c r="P102" s="19">
        <v>80</v>
      </c>
      <c r="Q102" s="19">
        <v>75</v>
      </c>
      <c r="R102" s="19">
        <v>75</v>
      </c>
      <c r="S102" s="19">
        <v>75</v>
      </c>
      <c r="T102" s="19">
        <v>75</v>
      </c>
      <c r="U102" s="19">
        <v>75</v>
      </c>
      <c r="V102" s="19">
        <v>75</v>
      </c>
      <c r="W102" s="19">
        <v>75</v>
      </c>
      <c r="X102" s="19">
        <v>75</v>
      </c>
      <c r="Y102" s="19">
        <v>75</v>
      </c>
      <c r="Z102" s="19">
        <v>75</v>
      </c>
      <c r="AA102" s="19"/>
      <c r="AB102" s="19"/>
      <c r="AC102" s="19"/>
      <c r="AD102" s="19"/>
      <c r="AE102" s="19"/>
      <c r="AF102" s="19"/>
      <c r="AG102" s="19"/>
      <c r="AH102" s="19"/>
      <c r="AI102" s="19"/>
      <c r="AJ102" s="19"/>
      <c r="AK102" s="19"/>
      <c r="AL102" s="19"/>
      <c r="AM102" s="19"/>
      <c r="AN102" s="19"/>
      <c r="AO102" s="19"/>
      <c r="AP102" s="19"/>
      <c r="AQ102" s="19"/>
      <c r="AR102" s="20"/>
      <c r="AS102" s="14"/>
      <c r="AW102" s="33">
        <v>0</v>
      </c>
      <c r="AY102">
        <v>0</v>
      </c>
    </row>
    <row r="103" spans="2:51" x14ac:dyDescent="0.25">
      <c r="B103" s="106" t="s">
        <v>139</v>
      </c>
      <c r="C103" s="18">
        <v>70</v>
      </c>
      <c r="D103" s="19">
        <v>70</v>
      </c>
      <c r="E103" s="19">
        <v>65</v>
      </c>
      <c r="F103" s="19">
        <v>65</v>
      </c>
      <c r="G103" s="19">
        <v>65</v>
      </c>
      <c r="H103" s="19">
        <v>0</v>
      </c>
      <c r="I103" s="19">
        <v>65</v>
      </c>
      <c r="J103" s="19">
        <v>65</v>
      </c>
      <c r="K103" s="19">
        <v>65</v>
      </c>
      <c r="L103" s="19">
        <v>65</v>
      </c>
      <c r="M103" s="19">
        <v>65</v>
      </c>
      <c r="N103" s="19">
        <v>70</v>
      </c>
      <c r="O103" s="19">
        <v>70</v>
      </c>
      <c r="P103" s="19">
        <v>70</v>
      </c>
      <c r="Q103" s="19">
        <v>65</v>
      </c>
      <c r="R103" s="19">
        <v>70</v>
      </c>
      <c r="S103" s="19">
        <v>70</v>
      </c>
      <c r="T103" s="19">
        <v>70</v>
      </c>
      <c r="U103" s="19">
        <v>65</v>
      </c>
      <c r="V103" s="19">
        <v>65</v>
      </c>
      <c r="W103" s="19">
        <v>65</v>
      </c>
      <c r="X103" s="19">
        <v>65</v>
      </c>
      <c r="Y103" s="19">
        <v>65</v>
      </c>
      <c r="Z103" s="19">
        <v>65</v>
      </c>
      <c r="AA103" s="19"/>
      <c r="AB103" s="19"/>
      <c r="AC103" s="19"/>
      <c r="AD103" s="19"/>
      <c r="AE103" s="19"/>
      <c r="AF103" s="19"/>
      <c r="AG103" s="19"/>
      <c r="AH103" s="19"/>
      <c r="AI103" s="19"/>
      <c r="AJ103" s="19"/>
      <c r="AK103" s="19"/>
      <c r="AL103" s="19"/>
      <c r="AM103" s="19"/>
      <c r="AN103" s="19"/>
      <c r="AO103" s="19"/>
      <c r="AP103" s="19"/>
      <c r="AQ103" s="19"/>
      <c r="AR103" s="20"/>
      <c r="AS103" s="14"/>
      <c r="AW103" s="33">
        <v>0</v>
      </c>
      <c r="AY103">
        <v>0</v>
      </c>
    </row>
    <row r="104" spans="2:51" x14ac:dyDescent="0.25">
      <c r="B104" s="106" t="s">
        <v>140</v>
      </c>
      <c r="C104" s="18">
        <v>115</v>
      </c>
      <c r="D104" s="19">
        <v>115</v>
      </c>
      <c r="E104" s="19">
        <v>115</v>
      </c>
      <c r="F104" s="19">
        <v>115</v>
      </c>
      <c r="G104" s="19">
        <v>115</v>
      </c>
      <c r="H104" s="19">
        <v>0</v>
      </c>
      <c r="I104" s="19">
        <v>115</v>
      </c>
      <c r="J104" s="19">
        <v>115</v>
      </c>
      <c r="K104" s="19">
        <v>115</v>
      </c>
      <c r="L104" s="19">
        <v>115</v>
      </c>
      <c r="M104" s="19">
        <v>115</v>
      </c>
      <c r="N104" s="19">
        <v>115</v>
      </c>
      <c r="O104" s="19">
        <v>115</v>
      </c>
      <c r="P104" s="19">
        <v>120</v>
      </c>
      <c r="Q104" s="19">
        <v>115</v>
      </c>
      <c r="R104" s="19">
        <v>115</v>
      </c>
      <c r="S104" s="19">
        <v>115</v>
      </c>
      <c r="T104" s="19">
        <v>115</v>
      </c>
      <c r="U104" s="19">
        <v>115</v>
      </c>
      <c r="V104" s="19">
        <v>115</v>
      </c>
      <c r="W104" s="19">
        <v>115</v>
      </c>
      <c r="X104" s="19">
        <v>115</v>
      </c>
      <c r="Y104" s="19">
        <v>115</v>
      </c>
      <c r="Z104" s="19">
        <v>115</v>
      </c>
      <c r="AA104" s="19"/>
      <c r="AB104" s="19"/>
      <c r="AC104" s="19"/>
      <c r="AD104" s="19"/>
      <c r="AE104" s="19"/>
      <c r="AF104" s="19"/>
      <c r="AG104" s="19"/>
      <c r="AH104" s="19"/>
      <c r="AI104" s="19"/>
      <c r="AJ104" s="19"/>
      <c r="AK104" s="19"/>
      <c r="AL104" s="19"/>
      <c r="AM104" s="19"/>
      <c r="AN104" s="19"/>
      <c r="AO104" s="19"/>
      <c r="AP104" s="19"/>
      <c r="AQ104" s="19"/>
      <c r="AR104" s="20"/>
      <c r="AS104" s="14"/>
      <c r="AW104" s="33">
        <v>0</v>
      </c>
      <c r="AY104">
        <v>0</v>
      </c>
    </row>
    <row r="105" spans="2:51" x14ac:dyDescent="0.25">
      <c r="B105" s="106" t="s">
        <v>43</v>
      </c>
      <c r="C105" s="18">
        <v>90</v>
      </c>
      <c r="D105" s="19">
        <v>90</v>
      </c>
      <c r="E105" s="19">
        <v>87</v>
      </c>
      <c r="F105" s="19">
        <v>87</v>
      </c>
      <c r="G105" s="19">
        <v>87</v>
      </c>
      <c r="H105" s="19">
        <v>0</v>
      </c>
      <c r="I105" s="19">
        <v>87</v>
      </c>
      <c r="J105" s="19">
        <v>87</v>
      </c>
      <c r="K105" s="19">
        <v>87</v>
      </c>
      <c r="L105" s="19">
        <v>87</v>
      </c>
      <c r="M105" s="19">
        <v>87</v>
      </c>
      <c r="N105" s="19">
        <v>90</v>
      </c>
      <c r="O105" s="19">
        <v>90</v>
      </c>
      <c r="P105" s="19">
        <v>90</v>
      </c>
      <c r="Q105" s="19">
        <v>87</v>
      </c>
      <c r="R105" s="19">
        <v>90</v>
      </c>
      <c r="S105" s="19">
        <v>90</v>
      </c>
      <c r="T105" s="19">
        <v>90</v>
      </c>
      <c r="U105" s="19">
        <v>87</v>
      </c>
      <c r="V105" s="19">
        <v>87</v>
      </c>
      <c r="W105" s="19">
        <v>87</v>
      </c>
      <c r="X105" s="19">
        <v>87</v>
      </c>
      <c r="Y105" s="19">
        <v>87</v>
      </c>
      <c r="Z105" s="19">
        <v>90</v>
      </c>
      <c r="AA105" s="19"/>
      <c r="AB105" s="19"/>
      <c r="AC105" s="19"/>
      <c r="AD105" s="19"/>
      <c r="AE105" s="19"/>
      <c r="AF105" s="19"/>
      <c r="AG105" s="19"/>
      <c r="AH105" s="19"/>
      <c r="AI105" s="19"/>
      <c r="AJ105" s="19"/>
      <c r="AK105" s="19"/>
      <c r="AL105" s="19"/>
      <c r="AM105" s="19"/>
      <c r="AN105" s="19"/>
      <c r="AO105" s="19"/>
      <c r="AP105" s="19"/>
      <c r="AQ105" s="19"/>
      <c r="AR105" s="20"/>
      <c r="AS105" s="14"/>
      <c r="AW105" s="33">
        <v>0</v>
      </c>
      <c r="AY105">
        <v>0</v>
      </c>
    </row>
    <row r="106" spans="2:51" x14ac:dyDescent="0.25">
      <c r="B106" s="106" t="s">
        <v>141</v>
      </c>
      <c r="C106" s="18">
        <v>90</v>
      </c>
      <c r="D106" s="19">
        <v>90</v>
      </c>
      <c r="E106" s="19">
        <v>87</v>
      </c>
      <c r="F106" s="19">
        <v>87</v>
      </c>
      <c r="G106" s="19">
        <v>87</v>
      </c>
      <c r="H106" s="19">
        <v>0</v>
      </c>
      <c r="I106" s="19">
        <v>87</v>
      </c>
      <c r="J106" s="19">
        <v>87</v>
      </c>
      <c r="K106" s="19">
        <v>87</v>
      </c>
      <c r="L106" s="19">
        <v>87</v>
      </c>
      <c r="M106" s="19">
        <v>87</v>
      </c>
      <c r="N106" s="19">
        <v>90</v>
      </c>
      <c r="O106" s="19">
        <v>90</v>
      </c>
      <c r="P106" s="19">
        <v>90</v>
      </c>
      <c r="Q106" s="19">
        <v>87</v>
      </c>
      <c r="R106" s="19">
        <v>90</v>
      </c>
      <c r="S106" s="19">
        <v>90</v>
      </c>
      <c r="T106" s="19">
        <v>90</v>
      </c>
      <c r="U106" s="19">
        <v>87</v>
      </c>
      <c r="V106" s="19">
        <v>87</v>
      </c>
      <c r="W106" s="19">
        <v>87</v>
      </c>
      <c r="X106" s="19">
        <v>87</v>
      </c>
      <c r="Y106" s="19">
        <v>87</v>
      </c>
      <c r="Z106" s="19">
        <v>90</v>
      </c>
      <c r="AA106" s="19"/>
      <c r="AB106" s="19"/>
      <c r="AC106" s="19"/>
      <c r="AD106" s="19"/>
      <c r="AE106" s="19"/>
      <c r="AF106" s="19"/>
      <c r="AG106" s="19"/>
      <c r="AH106" s="19"/>
      <c r="AI106" s="19"/>
      <c r="AJ106" s="19"/>
      <c r="AK106" s="19"/>
      <c r="AL106" s="19"/>
      <c r="AM106" s="19"/>
      <c r="AN106" s="19"/>
      <c r="AO106" s="19"/>
      <c r="AP106" s="19"/>
      <c r="AQ106" s="19"/>
      <c r="AR106" s="20"/>
      <c r="AS106" s="14"/>
      <c r="AW106" s="33">
        <v>0</v>
      </c>
      <c r="AY106">
        <v>0</v>
      </c>
    </row>
    <row r="107" spans="2:51" x14ac:dyDescent="0.25">
      <c r="B107" s="106" t="s">
        <v>45</v>
      </c>
      <c r="C107" s="18">
        <v>90</v>
      </c>
      <c r="D107" s="19">
        <v>90</v>
      </c>
      <c r="E107" s="19">
        <v>87</v>
      </c>
      <c r="F107" s="19">
        <v>87</v>
      </c>
      <c r="G107" s="19">
        <v>87</v>
      </c>
      <c r="H107" s="19">
        <v>0</v>
      </c>
      <c r="I107" s="19">
        <v>87</v>
      </c>
      <c r="J107" s="19">
        <v>87</v>
      </c>
      <c r="K107" s="19">
        <v>87</v>
      </c>
      <c r="L107" s="19">
        <v>87</v>
      </c>
      <c r="M107" s="19">
        <v>87</v>
      </c>
      <c r="N107" s="19">
        <v>90</v>
      </c>
      <c r="O107" s="19">
        <v>90</v>
      </c>
      <c r="P107" s="19">
        <v>90</v>
      </c>
      <c r="Q107" s="19">
        <v>87</v>
      </c>
      <c r="R107" s="19">
        <v>90</v>
      </c>
      <c r="S107" s="19">
        <v>90</v>
      </c>
      <c r="T107" s="19">
        <v>90</v>
      </c>
      <c r="U107" s="19">
        <v>87</v>
      </c>
      <c r="V107" s="19">
        <v>87</v>
      </c>
      <c r="W107" s="19">
        <v>87</v>
      </c>
      <c r="X107" s="19">
        <v>87</v>
      </c>
      <c r="Y107" s="19">
        <v>87</v>
      </c>
      <c r="Z107" s="19">
        <v>90</v>
      </c>
      <c r="AA107" s="19"/>
      <c r="AB107" s="19"/>
      <c r="AC107" s="19"/>
      <c r="AD107" s="19"/>
      <c r="AE107" s="19"/>
      <c r="AF107" s="19"/>
      <c r="AG107" s="19"/>
      <c r="AH107" s="19"/>
      <c r="AI107" s="19"/>
      <c r="AJ107" s="19"/>
      <c r="AK107" s="19"/>
      <c r="AL107" s="19"/>
      <c r="AM107" s="19"/>
      <c r="AN107" s="19"/>
      <c r="AO107" s="19"/>
      <c r="AP107" s="19"/>
      <c r="AQ107" s="19"/>
      <c r="AR107" s="20"/>
      <c r="AS107" s="14"/>
      <c r="AW107" s="33">
        <v>0</v>
      </c>
      <c r="AY107">
        <v>0</v>
      </c>
    </row>
    <row r="108" spans="2:51" x14ac:dyDescent="0.25">
      <c r="B108" s="106" t="s">
        <v>44</v>
      </c>
      <c r="C108" s="18">
        <v>90</v>
      </c>
      <c r="D108" s="19">
        <v>90</v>
      </c>
      <c r="E108" s="19">
        <v>87</v>
      </c>
      <c r="F108" s="19">
        <v>87</v>
      </c>
      <c r="G108" s="19">
        <v>87</v>
      </c>
      <c r="H108" s="19">
        <v>0</v>
      </c>
      <c r="I108" s="19">
        <v>87</v>
      </c>
      <c r="J108" s="19">
        <v>87</v>
      </c>
      <c r="K108" s="19">
        <v>87</v>
      </c>
      <c r="L108" s="19">
        <v>87</v>
      </c>
      <c r="M108" s="19">
        <v>87</v>
      </c>
      <c r="N108" s="19">
        <v>90</v>
      </c>
      <c r="O108" s="19">
        <v>90</v>
      </c>
      <c r="P108" s="19">
        <v>90</v>
      </c>
      <c r="Q108" s="19">
        <v>87</v>
      </c>
      <c r="R108" s="19">
        <v>90</v>
      </c>
      <c r="S108" s="19">
        <v>90</v>
      </c>
      <c r="T108" s="19">
        <v>90</v>
      </c>
      <c r="U108" s="19">
        <v>87</v>
      </c>
      <c r="V108" s="19">
        <v>87</v>
      </c>
      <c r="W108" s="19">
        <v>87</v>
      </c>
      <c r="X108" s="19">
        <v>87</v>
      </c>
      <c r="Y108" s="19">
        <v>87</v>
      </c>
      <c r="Z108" s="19">
        <v>90</v>
      </c>
      <c r="AA108" s="19"/>
      <c r="AB108" s="19"/>
      <c r="AC108" s="19"/>
      <c r="AD108" s="19"/>
      <c r="AE108" s="19"/>
      <c r="AF108" s="19"/>
      <c r="AG108" s="19"/>
      <c r="AH108" s="19"/>
      <c r="AI108" s="19"/>
      <c r="AJ108" s="19"/>
      <c r="AK108" s="19"/>
      <c r="AL108" s="19"/>
      <c r="AM108" s="19"/>
      <c r="AN108" s="19"/>
      <c r="AO108" s="19"/>
      <c r="AP108" s="19"/>
      <c r="AQ108" s="19"/>
      <c r="AR108" s="20"/>
      <c r="AS108" s="14"/>
      <c r="AW108" s="33">
        <v>0</v>
      </c>
      <c r="AY108">
        <v>0</v>
      </c>
    </row>
    <row r="109" spans="2:51" x14ac:dyDescent="0.25">
      <c r="B109" s="106" t="s">
        <v>142</v>
      </c>
      <c r="C109" s="18">
        <v>90</v>
      </c>
      <c r="D109" s="19">
        <v>90</v>
      </c>
      <c r="E109" s="19">
        <v>87</v>
      </c>
      <c r="F109" s="19">
        <v>87</v>
      </c>
      <c r="G109" s="19">
        <v>87</v>
      </c>
      <c r="H109" s="19">
        <v>0</v>
      </c>
      <c r="I109" s="19">
        <v>87</v>
      </c>
      <c r="J109" s="19">
        <v>87</v>
      </c>
      <c r="K109" s="19">
        <v>87</v>
      </c>
      <c r="L109" s="19">
        <v>87</v>
      </c>
      <c r="M109" s="19">
        <v>87</v>
      </c>
      <c r="N109" s="19">
        <v>90</v>
      </c>
      <c r="O109" s="19">
        <v>90</v>
      </c>
      <c r="P109" s="19">
        <v>90</v>
      </c>
      <c r="Q109" s="19">
        <v>87</v>
      </c>
      <c r="R109" s="19">
        <v>90</v>
      </c>
      <c r="S109" s="19">
        <v>90</v>
      </c>
      <c r="T109" s="19">
        <v>90</v>
      </c>
      <c r="U109" s="19">
        <v>87</v>
      </c>
      <c r="V109" s="19">
        <v>87</v>
      </c>
      <c r="W109" s="19">
        <v>87</v>
      </c>
      <c r="X109" s="19">
        <v>87</v>
      </c>
      <c r="Y109" s="19">
        <v>87</v>
      </c>
      <c r="Z109" s="19">
        <v>90</v>
      </c>
      <c r="AA109" s="19"/>
      <c r="AB109" s="19"/>
      <c r="AC109" s="19"/>
      <c r="AD109" s="19"/>
      <c r="AE109" s="19"/>
      <c r="AF109" s="19"/>
      <c r="AG109" s="19"/>
      <c r="AH109" s="19"/>
      <c r="AI109" s="19"/>
      <c r="AJ109" s="19"/>
      <c r="AK109" s="19"/>
      <c r="AL109" s="19"/>
      <c r="AM109" s="19"/>
      <c r="AN109" s="19"/>
      <c r="AO109" s="19"/>
      <c r="AP109" s="19"/>
      <c r="AQ109" s="19"/>
      <c r="AR109" s="20"/>
      <c r="AS109" s="14"/>
      <c r="AW109" s="33">
        <v>0</v>
      </c>
      <c r="AY109">
        <v>0</v>
      </c>
    </row>
    <row r="110" spans="2:51" x14ac:dyDescent="0.25">
      <c r="B110" s="106" t="s">
        <v>48</v>
      </c>
      <c r="C110" s="18">
        <v>95</v>
      </c>
      <c r="D110" s="19">
        <v>95</v>
      </c>
      <c r="E110" s="19">
        <v>95</v>
      </c>
      <c r="F110" s="19">
        <v>95</v>
      </c>
      <c r="G110" s="19">
        <v>95</v>
      </c>
      <c r="H110" s="19">
        <v>0</v>
      </c>
      <c r="I110" s="19">
        <v>95</v>
      </c>
      <c r="J110" s="19">
        <v>95</v>
      </c>
      <c r="K110" s="19">
        <v>95</v>
      </c>
      <c r="L110" s="19">
        <v>95</v>
      </c>
      <c r="M110" s="19">
        <v>95</v>
      </c>
      <c r="N110" s="19">
        <v>95</v>
      </c>
      <c r="O110" s="19">
        <v>95</v>
      </c>
      <c r="P110" s="19">
        <v>97</v>
      </c>
      <c r="Q110" s="19">
        <v>95</v>
      </c>
      <c r="R110" s="19">
        <v>95</v>
      </c>
      <c r="S110" s="19">
        <v>95</v>
      </c>
      <c r="T110" s="19">
        <v>95</v>
      </c>
      <c r="U110" s="19">
        <v>95</v>
      </c>
      <c r="V110" s="19">
        <v>93</v>
      </c>
      <c r="W110" s="19">
        <v>95</v>
      </c>
      <c r="X110" s="19">
        <v>93</v>
      </c>
      <c r="Y110" s="19">
        <v>95</v>
      </c>
      <c r="Z110" s="19">
        <v>95</v>
      </c>
      <c r="AA110" s="19"/>
      <c r="AB110" s="19"/>
      <c r="AC110" s="19"/>
      <c r="AD110" s="19"/>
      <c r="AE110" s="19"/>
      <c r="AF110" s="19"/>
      <c r="AG110" s="19"/>
      <c r="AH110" s="19"/>
      <c r="AI110" s="19"/>
      <c r="AJ110" s="19"/>
      <c r="AK110" s="19"/>
      <c r="AL110" s="19"/>
      <c r="AM110" s="19"/>
      <c r="AN110" s="19"/>
      <c r="AO110" s="19"/>
      <c r="AP110" s="19"/>
      <c r="AQ110" s="19"/>
      <c r="AR110" s="20"/>
      <c r="AS110" s="14"/>
      <c r="AW110" s="33">
        <v>0</v>
      </c>
      <c r="AY110">
        <v>0</v>
      </c>
    </row>
    <row r="111" spans="2:51" x14ac:dyDescent="0.25">
      <c r="B111" s="106" t="s">
        <v>53</v>
      </c>
      <c r="C111" s="18">
        <v>95</v>
      </c>
      <c r="D111" s="19">
        <v>95</v>
      </c>
      <c r="E111" s="19">
        <v>95</v>
      </c>
      <c r="F111" s="19">
        <v>95</v>
      </c>
      <c r="G111" s="19">
        <v>95</v>
      </c>
      <c r="H111" s="19">
        <v>0</v>
      </c>
      <c r="I111" s="19">
        <v>95</v>
      </c>
      <c r="J111" s="19">
        <v>95</v>
      </c>
      <c r="K111" s="19">
        <v>95</v>
      </c>
      <c r="L111" s="19">
        <v>95</v>
      </c>
      <c r="M111" s="19">
        <v>95</v>
      </c>
      <c r="N111" s="19">
        <v>95</v>
      </c>
      <c r="O111" s="19">
        <v>95</v>
      </c>
      <c r="P111" s="19">
        <v>97</v>
      </c>
      <c r="Q111" s="19">
        <v>95</v>
      </c>
      <c r="R111" s="19">
        <v>95</v>
      </c>
      <c r="S111" s="19">
        <v>95</v>
      </c>
      <c r="T111" s="19">
        <v>95</v>
      </c>
      <c r="U111" s="19">
        <v>95</v>
      </c>
      <c r="V111" s="19">
        <v>95</v>
      </c>
      <c r="W111" s="19">
        <v>95</v>
      </c>
      <c r="X111" s="19">
        <v>95</v>
      </c>
      <c r="Y111" s="19">
        <v>95</v>
      </c>
      <c r="Z111" s="19">
        <v>95</v>
      </c>
      <c r="AA111" s="19"/>
      <c r="AB111" s="19"/>
      <c r="AC111" s="19"/>
      <c r="AD111" s="19"/>
      <c r="AE111" s="19"/>
      <c r="AF111" s="19"/>
      <c r="AG111" s="19"/>
      <c r="AH111" s="19"/>
      <c r="AI111" s="19"/>
      <c r="AJ111" s="19"/>
      <c r="AK111" s="19"/>
      <c r="AL111" s="19"/>
      <c r="AM111" s="19"/>
      <c r="AN111" s="19"/>
      <c r="AO111" s="19"/>
      <c r="AP111" s="19"/>
      <c r="AQ111" s="19"/>
      <c r="AR111" s="20"/>
      <c r="AS111" s="14"/>
      <c r="AW111" s="33">
        <v>0</v>
      </c>
      <c r="AY111">
        <v>0</v>
      </c>
    </row>
    <row r="112" spans="2:51" x14ac:dyDescent="0.25">
      <c r="B112" s="106" t="s">
        <v>21</v>
      </c>
      <c r="C112" s="18">
        <v>75</v>
      </c>
      <c r="D112" s="19">
        <v>75</v>
      </c>
      <c r="E112" s="19">
        <v>70</v>
      </c>
      <c r="F112" s="19">
        <v>70</v>
      </c>
      <c r="G112" s="19">
        <v>70</v>
      </c>
      <c r="H112" s="19">
        <v>0</v>
      </c>
      <c r="I112" s="19">
        <v>75</v>
      </c>
      <c r="J112" s="19">
        <v>75</v>
      </c>
      <c r="K112" s="19">
        <v>70</v>
      </c>
      <c r="L112" s="19">
        <v>70</v>
      </c>
      <c r="M112" s="19">
        <v>70</v>
      </c>
      <c r="N112" s="19">
        <v>75</v>
      </c>
      <c r="O112" s="19">
        <v>75</v>
      </c>
      <c r="P112" s="19">
        <v>80</v>
      </c>
      <c r="Q112" s="19">
        <v>70</v>
      </c>
      <c r="R112" s="19">
        <v>75</v>
      </c>
      <c r="S112" s="19">
        <v>75</v>
      </c>
      <c r="T112" s="19">
        <v>75</v>
      </c>
      <c r="U112" s="19">
        <v>70</v>
      </c>
      <c r="V112" s="19">
        <v>70</v>
      </c>
      <c r="W112" s="19">
        <v>73</v>
      </c>
      <c r="X112" s="19">
        <v>70</v>
      </c>
      <c r="Y112" s="19">
        <v>75</v>
      </c>
      <c r="Z112" s="19">
        <v>75</v>
      </c>
      <c r="AA112" s="19"/>
      <c r="AB112" s="19"/>
      <c r="AC112" s="19"/>
      <c r="AD112" s="19"/>
      <c r="AE112" s="19"/>
      <c r="AF112" s="19"/>
      <c r="AG112" s="19"/>
      <c r="AH112" s="19"/>
      <c r="AI112" s="19"/>
      <c r="AJ112" s="19"/>
      <c r="AK112" s="19"/>
      <c r="AL112" s="19"/>
      <c r="AM112" s="19"/>
      <c r="AN112" s="19"/>
      <c r="AO112" s="19"/>
      <c r="AP112" s="19"/>
      <c r="AQ112" s="19"/>
      <c r="AR112" s="20"/>
      <c r="AS112" s="14"/>
      <c r="AW112" s="33">
        <v>0</v>
      </c>
      <c r="AY112">
        <v>0</v>
      </c>
    </row>
    <row r="113" spans="2:51" x14ac:dyDescent="0.25">
      <c r="B113" s="106" t="s">
        <v>61</v>
      </c>
      <c r="C113" s="18">
        <v>73</v>
      </c>
      <c r="D113" s="19">
        <v>73</v>
      </c>
      <c r="E113" s="19">
        <v>70</v>
      </c>
      <c r="F113" s="19">
        <v>70</v>
      </c>
      <c r="G113" s="19">
        <v>70</v>
      </c>
      <c r="H113" s="19">
        <v>0</v>
      </c>
      <c r="I113" s="19">
        <v>70</v>
      </c>
      <c r="J113" s="19">
        <v>70</v>
      </c>
      <c r="K113" s="19">
        <v>70</v>
      </c>
      <c r="L113" s="19">
        <v>70</v>
      </c>
      <c r="M113" s="19">
        <v>70</v>
      </c>
      <c r="N113" s="19">
        <v>73</v>
      </c>
      <c r="O113" s="19">
        <v>73</v>
      </c>
      <c r="P113" s="19">
        <v>73</v>
      </c>
      <c r="Q113" s="19">
        <v>70</v>
      </c>
      <c r="R113" s="19">
        <v>73</v>
      </c>
      <c r="S113" s="19">
        <v>73</v>
      </c>
      <c r="T113" s="19">
        <v>73</v>
      </c>
      <c r="U113" s="19">
        <v>70</v>
      </c>
      <c r="V113" s="19">
        <v>70</v>
      </c>
      <c r="W113" s="19">
        <v>70</v>
      </c>
      <c r="X113" s="19">
        <v>70</v>
      </c>
      <c r="Y113" s="19">
        <v>70</v>
      </c>
      <c r="Z113" s="19">
        <v>70</v>
      </c>
      <c r="AA113" s="19"/>
      <c r="AB113" s="19"/>
      <c r="AC113" s="19"/>
      <c r="AD113" s="19"/>
      <c r="AE113" s="19"/>
      <c r="AF113" s="19"/>
      <c r="AG113" s="19"/>
      <c r="AH113" s="19"/>
      <c r="AI113" s="19"/>
      <c r="AJ113" s="19"/>
      <c r="AK113" s="19"/>
      <c r="AL113" s="19"/>
      <c r="AM113" s="19"/>
      <c r="AN113" s="19"/>
      <c r="AO113" s="19"/>
      <c r="AP113" s="19"/>
      <c r="AQ113" s="19"/>
      <c r="AR113" s="20"/>
      <c r="AS113" s="14"/>
      <c r="AW113" s="33">
        <v>0</v>
      </c>
      <c r="AY113">
        <v>0</v>
      </c>
    </row>
    <row r="114" spans="2:51" x14ac:dyDescent="0.25">
      <c r="B114" s="106" t="s">
        <v>143</v>
      </c>
      <c r="C114" s="18">
        <v>70</v>
      </c>
      <c r="D114" s="19">
        <v>70</v>
      </c>
      <c r="E114" s="19">
        <v>70</v>
      </c>
      <c r="F114" s="19">
        <v>70</v>
      </c>
      <c r="G114" s="19">
        <v>70</v>
      </c>
      <c r="H114" s="19">
        <v>0</v>
      </c>
      <c r="I114" s="19">
        <v>70</v>
      </c>
      <c r="J114" s="19">
        <v>70</v>
      </c>
      <c r="K114" s="19">
        <v>70</v>
      </c>
      <c r="L114" s="19">
        <v>70</v>
      </c>
      <c r="M114" s="19">
        <v>70</v>
      </c>
      <c r="N114" s="19">
        <v>70</v>
      </c>
      <c r="O114" s="19">
        <v>70</v>
      </c>
      <c r="P114" s="19">
        <v>70</v>
      </c>
      <c r="Q114" s="19">
        <v>70</v>
      </c>
      <c r="R114" s="19">
        <v>70</v>
      </c>
      <c r="S114" s="19">
        <v>70</v>
      </c>
      <c r="T114" s="19">
        <v>70</v>
      </c>
      <c r="U114" s="19">
        <v>70</v>
      </c>
      <c r="V114" s="19">
        <v>70</v>
      </c>
      <c r="W114" s="19">
        <v>70</v>
      </c>
      <c r="X114" s="19">
        <v>70</v>
      </c>
      <c r="Y114" s="19">
        <v>70</v>
      </c>
      <c r="Z114" s="19">
        <v>70</v>
      </c>
      <c r="AA114" s="19"/>
      <c r="AB114" s="19"/>
      <c r="AC114" s="19"/>
      <c r="AD114" s="19"/>
      <c r="AE114" s="19"/>
      <c r="AF114" s="19"/>
      <c r="AG114" s="19"/>
      <c r="AH114" s="19"/>
      <c r="AI114" s="19"/>
      <c r="AJ114" s="19"/>
      <c r="AK114" s="19"/>
      <c r="AL114" s="19"/>
      <c r="AM114" s="19"/>
      <c r="AN114" s="19"/>
      <c r="AO114" s="19"/>
      <c r="AP114" s="19"/>
      <c r="AQ114" s="19"/>
      <c r="AR114" s="20"/>
      <c r="AS114" s="14"/>
      <c r="AW114" s="33">
        <v>0</v>
      </c>
      <c r="AY114">
        <v>0</v>
      </c>
    </row>
    <row r="115" spans="2:51" x14ac:dyDescent="0.25">
      <c r="B115" s="106" t="s">
        <v>36</v>
      </c>
      <c r="C115" s="18">
        <v>67</v>
      </c>
      <c r="D115" s="19">
        <v>67</v>
      </c>
      <c r="E115" s="19">
        <v>63</v>
      </c>
      <c r="F115" s="19">
        <v>63</v>
      </c>
      <c r="G115" s="19">
        <v>63</v>
      </c>
      <c r="H115" s="19">
        <v>0</v>
      </c>
      <c r="I115" s="19">
        <v>63</v>
      </c>
      <c r="J115" s="19">
        <v>63</v>
      </c>
      <c r="K115" s="19">
        <v>63</v>
      </c>
      <c r="L115" s="19">
        <v>63</v>
      </c>
      <c r="M115" s="19">
        <v>63</v>
      </c>
      <c r="N115" s="19">
        <v>67</v>
      </c>
      <c r="O115" s="19">
        <v>67</v>
      </c>
      <c r="P115" s="19">
        <v>67</v>
      </c>
      <c r="Q115" s="19">
        <v>63</v>
      </c>
      <c r="R115" s="19">
        <v>67</v>
      </c>
      <c r="S115" s="19">
        <v>67</v>
      </c>
      <c r="T115" s="19">
        <v>65</v>
      </c>
      <c r="U115" s="19">
        <v>63</v>
      </c>
      <c r="V115" s="19">
        <v>63</v>
      </c>
      <c r="W115" s="19">
        <v>63</v>
      </c>
      <c r="X115" s="19">
        <v>63</v>
      </c>
      <c r="Y115" s="19">
        <v>63</v>
      </c>
      <c r="Z115" s="19">
        <v>65</v>
      </c>
      <c r="AA115" s="19"/>
      <c r="AB115" s="19"/>
      <c r="AC115" s="19"/>
      <c r="AD115" s="19"/>
      <c r="AE115" s="19"/>
      <c r="AF115" s="19"/>
      <c r="AG115" s="19"/>
      <c r="AH115" s="19"/>
      <c r="AI115" s="19"/>
      <c r="AJ115" s="19"/>
      <c r="AK115" s="19"/>
      <c r="AL115" s="19"/>
      <c r="AM115" s="19"/>
      <c r="AN115" s="19"/>
      <c r="AO115" s="19"/>
      <c r="AP115" s="19"/>
      <c r="AQ115" s="19"/>
      <c r="AR115" s="20"/>
      <c r="AS115" s="14"/>
      <c r="AW115" s="33">
        <v>0</v>
      </c>
      <c r="AY115">
        <v>0</v>
      </c>
    </row>
    <row r="116" spans="2:51" x14ac:dyDescent="0.25">
      <c r="B116" s="106" t="s">
        <v>144</v>
      </c>
      <c r="C116" s="18">
        <v>80</v>
      </c>
      <c r="D116" s="19">
        <v>80</v>
      </c>
      <c r="E116" s="19">
        <v>77</v>
      </c>
      <c r="F116" s="19">
        <v>77</v>
      </c>
      <c r="G116" s="19">
        <v>77</v>
      </c>
      <c r="H116" s="19">
        <v>0</v>
      </c>
      <c r="I116" s="19">
        <v>77</v>
      </c>
      <c r="J116" s="19">
        <v>77</v>
      </c>
      <c r="K116" s="19">
        <v>77</v>
      </c>
      <c r="L116" s="19">
        <v>77</v>
      </c>
      <c r="M116" s="19">
        <v>77</v>
      </c>
      <c r="N116" s="19">
        <v>80</v>
      </c>
      <c r="O116" s="19">
        <v>80</v>
      </c>
      <c r="P116" s="19">
        <v>80</v>
      </c>
      <c r="Q116" s="19">
        <v>77</v>
      </c>
      <c r="R116" s="19">
        <v>80</v>
      </c>
      <c r="S116" s="19">
        <v>80</v>
      </c>
      <c r="T116" s="19">
        <v>80</v>
      </c>
      <c r="U116" s="19">
        <v>77</v>
      </c>
      <c r="V116" s="19">
        <v>77</v>
      </c>
      <c r="W116" s="19">
        <v>77</v>
      </c>
      <c r="X116" s="19">
        <v>77</v>
      </c>
      <c r="Y116" s="19">
        <v>77</v>
      </c>
      <c r="Z116" s="19">
        <v>77</v>
      </c>
      <c r="AA116" s="19"/>
      <c r="AB116" s="19"/>
      <c r="AC116" s="19"/>
      <c r="AD116" s="19"/>
      <c r="AE116" s="19"/>
      <c r="AF116" s="19"/>
      <c r="AG116" s="19"/>
      <c r="AH116" s="19"/>
      <c r="AI116" s="19"/>
      <c r="AJ116" s="19"/>
      <c r="AK116" s="19"/>
      <c r="AL116" s="19"/>
      <c r="AM116" s="19"/>
      <c r="AN116" s="19"/>
      <c r="AO116" s="19"/>
      <c r="AP116" s="19"/>
      <c r="AQ116" s="19"/>
      <c r="AR116" s="20"/>
      <c r="AS116" s="14"/>
      <c r="AW116" s="33">
        <v>0</v>
      </c>
      <c r="AY116">
        <v>0</v>
      </c>
    </row>
    <row r="117" spans="2:51" x14ac:dyDescent="0.25">
      <c r="B117" s="106" t="s">
        <v>145</v>
      </c>
      <c r="C117" s="18">
        <v>70</v>
      </c>
      <c r="D117" s="19">
        <v>70</v>
      </c>
      <c r="E117" s="19">
        <v>65</v>
      </c>
      <c r="F117" s="19">
        <v>65</v>
      </c>
      <c r="G117" s="19">
        <v>65</v>
      </c>
      <c r="H117" s="19">
        <v>0</v>
      </c>
      <c r="I117" s="19">
        <v>65</v>
      </c>
      <c r="J117" s="19">
        <v>65</v>
      </c>
      <c r="K117" s="19">
        <v>65</v>
      </c>
      <c r="L117" s="19">
        <v>65</v>
      </c>
      <c r="M117" s="19">
        <v>65</v>
      </c>
      <c r="N117" s="19">
        <v>70</v>
      </c>
      <c r="O117" s="19">
        <v>70</v>
      </c>
      <c r="P117" s="19">
        <v>70</v>
      </c>
      <c r="Q117" s="19">
        <v>65</v>
      </c>
      <c r="R117" s="19">
        <v>70</v>
      </c>
      <c r="S117" s="19">
        <v>70</v>
      </c>
      <c r="T117" s="19">
        <v>70</v>
      </c>
      <c r="U117" s="19">
        <v>65</v>
      </c>
      <c r="V117" s="19">
        <v>65</v>
      </c>
      <c r="W117" s="19">
        <v>65</v>
      </c>
      <c r="X117" s="19">
        <v>65</v>
      </c>
      <c r="Y117" s="19">
        <v>65</v>
      </c>
      <c r="Z117" s="19">
        <v>65</v>
      </c>
      <c r="AA117" s="19"/>
      <c r="AB117" s="19"/>
      <c r="AC117" s="19"/>
      <c r="AD117" s="19"/>
      <c r="AE117" s="19"/>
      <c r="AF117" s="19"/>
      <c r="AG117" s="19"/>
      <c r="AH117" s="19"/>
      <c r="AI117" s="19"/>
      <c r="AJ117" s="19"/>
      <c r="AK117" s="19"/>
      <c r="AL117" s="19"/>
      <c r="AM117" s="19"/>
      <c r="AN117" s="19"/>
      <c r="AO117" s="19"/>
      <c r="AP117" s="19"/>
      <c r="AQ117" s="19"/>
      <c r="AR117" s="20"/>
      <c r="AS117" s="14"/>
      <c r="AW117" s="33">
        <v>0</v>
      </c>
      <c r="AY117">
        <v>0</v>
      </c>
    </row>
    <row r="118" spans="2:51" x14ac:dyDescent="0.25">
      <c r="B118" s="106" t="s">
        <v>146</v>
      </c>
      <c r="C118" s="18">
        <v>70</v>
      </c>
      <c r="D118" s="19">
        <v>70</v>
      </c>
      <c r="E118" s="19">
        <v>65</v>
      </c>
      <c r="F118" s="19">
        <v>65</v>
      </c>
      <c r="G118" s="19">
        <v>65</v>
      </c>
      <c r="H118" s="19">
        <v>0</v>
      </c>
      <c r="I118" s="19">
        <v>65</v>
      </c>
      <c r="J118" s="19">
        <v>65</v>
      </c>
      <c r="K118" s="19">
        <v>65</v>
      </c>
      <c r="L118" s="19">
        <v>65</v>
      </c>
      <c r="M118" s="19">
        <v>65</v>
      </c>
      <c r="N118" s="19">
        <v>70</v>
      </c>
      <c r="O118" s="19">
        <v>70</v>
      </c>
      <c r="P118" s="19">
        <v>70</v>
      </c>
      <c r="Q118" s="19">
        <v>65</v>
      </c>
      <c r="R118" s="19">
        <v>70</v>
      </c>
      <c r="S118" s="19">
        <v>70</v>
      </c>
      <c r="T118" s="19">
        <v>70</v>
      </c>
      <c r="U118" s="19">
        <v>65</v>
      </c>
      <c r="V118" s="19">
        <v>65</v>
      </c>
      <c r="W118" s="19">
        <v>65</v>
      </c>
      <c r="X118" s="19">
        <v>65</v>
      </c>
      <c r="Y118" s="19">
        <v>65</v>
      </c>
      <c r="Z118" s="19">
        <v>65</v>
      </c>
      <c r="AA118" s="19"/>
      <c r="AB118" s="19"/>
      <c r="AC118" s="19"/>
      <c r="AD118" s="19"/>
      <c r="AE118" s="19"/>
      <c r="AF118" s="19"/>
      <c r="AG118" s="19"/>
      <c r="AH118" s="19"/>
      <c r="AI118" s="19"/>
      <c r="AJ118" s="19"/>
      <c r="AK118" s="19"/>
      <c r="AL118" s="19"/>
      <c r="AM118" s="19"/>
      <c r="AN118" s="19"/>
      <c r="AO118" s="19"/>
      <c r="AP118" s="19"/>
      <c r="AQ118" s="19"/>
      <c r="AR118" s="20"/>
      <c r="AS118" s="14"/>
      <c r="AW118" s="33">
        <v>0</v>
      </c>
      <c r="AY118">
        <v>0</v>
      </c>
    </row>
    <row r="119" spans="2:51" x14ac:dyDescent="0.25">
      <c r="B119" s="106" t="s">
        <v>147</v>
      </c>
      <c r="C119" s="18">
        <v>85</v>
      </c>
      <c r="D119" s="19">
        <v>85</v>
      </c>
      <c r="E119" s="19">
        <v>85</v>
      </c>
      <c r="F119" s="19">
        <v>85</v>
      </c>
      <c r="G119" s="19">
        <v>85</v>
      </c>
      <c r="H119" s="19">
        <v>0</v>
      </c>
      <c r="I119" s="19">
        <v>85</v>
      </c>
      <c r="J119" s="19">
        <v>85</v>
      </c>
      <c r="K119" s="19">
        <v>85</v>
      </c>
      <c r="L119" s="19">
        <v>85</v>
      </c>
      <c r="M119" s="19">
        <v>85</v>
      </c>
      <c r="N119" s="19">
        <v>85</v>
      </c>
      <c r="O119" s="19">
        <v>85</v>
      </c>
      <c r="P119" s="19">
        <v>85</v>
      </c>
      <c r="Q119" s="19">
        <v>85</v>
      </c>
      <c r="R119" s="19">
        <v>85</v>
      </c>
      <c r="S119" s="19">
        <v>85</v>
      </c>
      <c r="T119" s="19">
        <v>85</v>
      </c>
      <c r="U119" s="19">
        <v>85</v>
      </c>
      <c r="V119" s="19">
        <v>85</v>
      </c>
      <c r="W119" s="19">
        <v>85</v>
      </c>
      <c r="X119" s="19">
        <v>85</v>
      </c>
      <c r="Y119" s="19">
        <v>85</v>
      </c>
      <c r="Z119" s="19">
        <v>85</v>
      </c>
      <c r="AA119" s="19"/>
      <c r="AB119" s="19"/>
      <c r="AC119" s="19"/>
      <c r="AD119" s="19"/>
      <c r="AE119" s="19"/>
      <c r="AF119" s="19"/>
      <c r="AG119" s="19"/>
      <c r="AH119" s="19"/>
      <c r="AI119" s="19"/>
      <c r="AJ119" s="19"/>
      <c r="AK119" s="19"/>
      <c r="AL119" s="19"/>
      <c r="AM119" s="19"/>
      <c r="AN119" s="19"/>
      <c r="AO119" s="19"/>
      <c r="AP119" s="19"/>
      <c r="AQ119" s="19"/>
      <c r="AR119" s="20"/>
      <c r="AS119" s="14"/>
      <c r="AW119" s="33">
        <v>0</v>
      </c>
      <c r="AY119">
        <v>0</v>
      </c>
    </row>
    <row r="120" spans="2:51" x14ac:dyDescent="0.25">
      <c r="B120" s="106" t="s">
        <v>148</v>
      </c>
      <c r="C120" s="18">
        <v>85</v>
      </c>
      <c r="D120" s="19">
        <v>85</v>
      </c>
      <c r="E120" s="19">
        <v>83</v>
      </c>
      <c r="F120" s="19">
        <v>83</v>
      </c>
      <c r="G120" s="19">
        <v>83</v>
      </c>
      <c r="H120" s="19">
        <v>0</v>
      </c>
      <c r="I120" s="19">
        <v>83</v>
      </c>
      <c r="J120" s="19">
        <v>83</v>
      </c>
      <c r="K120" s="19">
        <v>83</v>
      </c>
      <c r="L120" s="19">
        <v>83</v>
      </c>
      <c r="M120" s="19">
        <v>83</v>
      </c>
      <c r="N120" s="19">
        <v>85</v>
      </c>
      <c r="O120" s="19">
        <v>85</v>
      </c>
      <c r="P120" s="19">
        <v>85</v>
      </c>
      <c r="Q120" s="19">
        <v>83</v>
      </c>
      <c r="R120" s="19">
        <v>85</v>
      </c>
      <c r="S120" s="19">
        <v>85</v>
      </c>
      <c r="T120" s="19">
        <v>85</v>
      </c>
      <c r="U120" s="19">
        <v>83</v>
      </c>
      <c r="V120" s="19">
        <v>83</v>
      </c>
      <c r="W120" s="19">
        <v>83</v>
      </c>
      <c r="X120" s="19">
        <v>83</v>
      </c>
      <c r="Y120" s="19">
        <v>83</v>
      </c>
      <c r="Z120" s="19">
        <v>85</v>
      </c>
      <c r="AA120" s="19"/>
      <c r="AB120" s="19"/>
      <c r="AC120" s="19"/>
      <c r="AD120" s="19"/>
      <c r="AE120" s="19"/>
      <c r="AF120" s="19"/>
      <c r="AG120" s="19"/>
      <c r="AH120" s="19"/>
      <c r="AI120" s="19"/>
      <c r="AJ120" s="19"/>
      <c r="AK120" s="19"/>
      <c r="AL120" s="19"/>
      <c r="AM120" s="19"/>
      <c r="AN120" s="19"/>
      <c r="AO120" s="19"/>
      <c r="AP120" s="19"/>
      <c r="AQ120" s="19"/>
      <c r="AR120" s="20"/>
      <c r="AS120" s="14"/>
      <c r="AW120" s="33">
        <v>0</v>
      </c>
      <c r="AY120">
        <v>0</v>
      </c>
    </row>
    <row r="121" spans="2:51" x14ac:dyDescent="0.25">
      <c r="B121" s="106" t="s">
        <v>149</v>
      </c>
      <c r="C121" s="18">
        <v>75</v>
      </c>
      <c r="D121" s="19">
        <v>75</v>
      </c>
      <c r="E121" s="19">
        <v>73</v>
      </c>
      <c r="F121" s="19">
        <v>73</v>
      </c>
      <c r="G121" s="19">
        <v>73</v>
      </c>
      <c r="H121" s="19">
        <v>0</v>
      </c>
      <c r="I121" s="19">
        <v>73</v>
      </c>
      <c r="J121" s="19">
        <v>73</v>
      </c>
      <c r="K121" s="19">
        <v>73</v>
      </c>
      <c r="L121" s="19">
        <v>73</v>
      </c>
      <c r="M121" s="19">
        <v>73</v>
      </c>
      <c r="N121" s="19">
        <v>75</v>
      </c>
      <c r="O121" s="19">
        <v>75</v>
      </c>
      <c r="P121" s="19">
        <v>75</v>
      </c>
      <c r="Q121" s="19">
        <v>73</v>
      </c>
      <c r="R121" s="19">
        <v>75</v>
      </c>
      <c r="S121" s="19">
        <v>75</v>
      </c>
      <c r="T121" s="19">
        <v>75</v>
      </c>
      <c r="U121" s="19">
        <v>73</v>
      </c>
      <c r="V121" s="19">
        <v>73</v>
      </c>
      <c r="W121" s="19">
        <v>73</v>
      </c>
      <c r="X121" s="19">
        <v>73</v>
      </c>
      <c r="Y121" s="19">
        <v>73</v>
      </c>
      <c r="Z121" s="19">
        <v>75</v>
      </c>
      <c r="AA121" s="19"/>
      <c r="AB121" s="19"/>
      <c r="AC121" s="19"/>
      <c r="AD121" s="19"/>
      <c r="AE121" s="19"/>
      <c r="AF121" s="19"/>
      <c r="AG121" s="19"/>
      <c r="AH121" s="19"/>
      <c r="AI121" s="19"/>
      <c r="AJ121" s="19"/>
      <c r="AK121" s="19"/>
      <c r="AL121" s="19"/>
      <c r="AM121" s="19"/>
      <c r="AN121" s="19"/>
      <c r="AO121" s="19"/>
      <c r="AP121" s="19"/>
      <c r="AQ121" s="19"/>
      <c r="AR121" s="20"/>
      <c r="AS121" s="14"/>
      <c r="AW121" s="33">
        <v>0</v>
      </c>
      <c r="AY121">
        <v>0</v>
      </c>
    </row>
    <row r="122" spans="2:51" x14ac:dyDescent="0.25">
      <c r="B122" s="106" t="s">
        <v>150</v>
      </c>
      <c r="C122" s="18">
        <v>75</v>
      </c>
      <c r="D122" s="19">
        <v>75</v>
      </c>
      <c r="E122" s="19">
        <v>73</v>
      </c>
      <c r="F122" s="19">
        <v>73</v>
      </c>
      <c r="G122" s="19">
        <v>73</v>
      </c>
      <c r="H122" s="19">
        <v>0</v>
      </c>
      <c r="I122" s="19">
        <v>73</v>
      </c>
      <c r="J122" s="19">
        <v>73</v>
      </c>
      <c r="K122" s="19">
        <v>73</v>
      </c>
      <c r="L122" s="19">
        <v>73</v>
      </c>
      <c r="M122" s="19">
        <v>73</v>
      </c>
      <c r="N122" s="19">
        <v>75</v>
      </c>
      <c r="O122" s="19">
        <v>75</v>
      </c>
      <c r="P122" s="19">
        <v>75</v>
      </c>
      <c r="Q122" s="19">
        <v>73</v>
      </c>
      <c r="R122" s="19">
        <v>75</v>
      </c>
      <c r="S122" s="19">
        <v>75</v>
      </c>
      <c r="T122" s="19">
        <v>75</v>
      </c>
      <c r="U122" s="19">
        <v>73</v>
      </c>
      <c r="V122" s="19">
        <v>73</v>
      </c>
      <c r="W122" s="19">
        <v>73</v>
      </c>
      <c r="X122" s="19">
        <v>73</v>
      </c>
      <c r="Y122" s="19">
        <v>73</v>
      </c>
      <c r="Z122" s="19">
        <v>75</v>
      </c>
      <c r="AA122" s="19"/>
      <c r="AB122" s="19"/>
      <c r="AC122" s="19"/>
      <c r="AD122" s="19"/>
      <c r="AE122" s="19"/>
      <c r="AF122" s="19"/>
      <c r="AG122" s="19"/>
      <c r="AH122" s="19"/>
      <c r="AI122" s="19"/>
      <c r="AJ122" s="19"/>
      <c r="AK122" s="19"/>
      <c r="AL122" s="19"/>
      <c r="AM122" s="19"/>
      <c r="AN122" s="19"/>
      <c r="AO122" s="19"/>
      <c r="AP122" s="19"/>
      <c r="AQ122" s="19"/>
      <c r="AR122" s="20"/>
      <c r="AS122" s="14"/>
      <c r="AW122" s="33">
        <v>0</v>
      </c>
      <c r="AY122">
        <v>0</v>
      </c>
    </row>
    <row r="123" spans="2:51" x14ac:dyDescent="0.25">
      <c r="C123" s="113"/>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4"/>
      <c r="AB123" s="114"/>
      <c r="AC123" s="114"/>
      <c r="AD123" s="114"/>
      <c r="AE123" s="114"/>
      <c r="AF123" s="114"/>
      <c r="AG123" s="114"/>
      <c r="AH123" s="114"/>
      <c r="AI123" s="114"/>
      <c r="AJ123" s="114"/>
      <c r="AK123" s="114"/>
      <c r="AL123" s="114"/>
      <c r="AM123" s="114"/>
      <c r="AN123" s="114"/>
      <c r="AO123" s="114"/>
      <c r="AP123" s="114"/>
      <c r="AQ123" s="114"/>
      <c r="AR123" s="115"/>
      <c r="AW123" s="33">
        <v>0</v>
      </c>
      <c r="AY123">
        <v>0</v>
      </c>
    </row>
    <row r="124" spans="2:51" x14ac:dyDescent="0.25">
      <c r="C124" s="113"/>
      <c r="D124" s="114"/>
      <c r="E124" s="114"/>
      <c r="F124" s="114"/>
      <c r="G124" s="114"/>
      <c r="H124" s="114"/>
      <c r="I124" s="114"/>
      <c r="J124" s="114"/>
      <c r="K124" s="114"/>
      <c r="L124" s="114"/>
      <c r="M124" s="114"/>
      <c r="N124" s="114"/>
      <c r="O124" s="114"/>
      <c r="P124" s="114"/>
      <c r="Q124" s="114"/>
      <c r="R124" s="114"/>
      <c r="S124" s="114"/>
      <c r="T124" s="114"/>
      <c r="U124" s="114"/>
      <c r="V124" s="114"/>
      <c r="W124" s="114"/>
      <c r="X124" s="114"/>
      <c r="Y124" s="114"/>
      <c r="Z124" s="114"/>
      <c r="AA124" s="114"/>
      <c r="AB124" s="114"/>
      <c r="AC124" s="114"/>
      <c r="AD124" s="114"/>
      <c r="AE124" s="114"/>
      <c r="AF124" s="114"/>
      <c r="AG124" s="114"/>
      <c r="AH124" s="114"/>
      <c r="AI124" s="114"/>
      <c r="AJ124" s="114"/>
      <c r="AK124" s="114"/>
      <c r="AL124" s="114"/>
      <c r="AM124" s="114"/>
      <c r="AN124" s="114"/>
      <c r="AO124" s="114"/>
      <c r="AP124" s="114"/>
      <c r="AQ124" s="114"/>
      <c r="AR124" s="115"/>
      <c r="AW124" s="33">
        <v>0</v>
      </c>
      <c r="AY124">
        <v>0</v>
      </c>
    </row>
    <row r="125" spans="2:51" x14ac:dyDescent="0.25">
      <c r="C125" s="113"/>
      <c r="D125" s="114"/>
      <c r="E125" s="114"/>
      <c r="F125" s="114"/>
      <c r="G125" s="114"/>
      <c r="H125" s="114"/>
      <c r="I125" s="114"/>
      <c r="J125" s="114"/>
      <c r="K125" s="114"/>
      <c r="L125" s="114"/>
      <c r="M125" s="114"/>
      <c r="N125" s="114"/>
      <c r="O125" s="114"/>
      <c r="P125" s="114"/>
      <c r="Q125" s="114"/>
      <c r="R125" s="114"/>
      <c r="S125" s="114"/>
      <c r="T125" s="114"/>
      <c r="U125" s="114"/>
      <c r="V125" s="114"/>
      <c r="W125" s="114"/>
      <c r="X125" s="114"/>
      <c r="Y125" s="114"/>
      <c r="Z125" s="114"/>
      <c r="AA125" s="114"/>
      <c r="AB125" s="114"/>
      <c r="AC125" s="114"/>
      <c r="AD125" s="114"/>
      <c r="AE125" s="114"/>
      <c r="AF125" s="114"/>
      <c r="AG125" s="114"/>
      <c r="AH125" s="114"/>
      <c r="AI125" s="114"/>
      <c r="AJ125" s="114"/>
      <c r="AK125" s="114"/>
      <c r="AL125" s="114"/>
      <c r="AM125" s="114"/>
      <c r="AN125" s="114"/>
      <c r="AO125" s="114"/>
      <c r="AP125" s="114"/>
      <c r="AQ125" s="114"/>
      <c r="AR125" s="115"/>
      <c r="AW125" s="33">
        <v>0</v>
      </c>
      <c r="AY125">
        <v>0</v>
      </c>
    </row>
    <row r="126" spans="2:51" x14ac:dyDescent="0.25">
      <c r="C126" s="113"/>
      <c r="D126" s="114"/>
      <c r="E126" s="114"/>
      <c r="F126" s="114"/>
      <c r="G126" s="114"/>
      <c r="H126" s="114"/>
      <c r="I126" s="114"/>
      <c r="J126" s="114"/>
      <c r="K126" s="114"/>
      <c r="L126" s="114"/>
      <c r="M126" s="114"/>
      <c r="N126" s="114"/>
      <c r="O126" s="114"/>
      <c r="P126" s="114"/>
      <c r="Q126" s="114"/>
      <c r="R126" s="114"/>
      <c r="S126" s="114"/>
      <c r="T126" s="114"/>
      <c r="U126" s="114"/>
      <c r="V126" s="114"/>
      <c r="W126" s="114"/>
      <c r="X126" s="114"/>
      <c r="Y126" s="114"/>
      <c r="Z126" s="114"/>
      <c r="AA126" s="114"/>
      <c r="AB126" s="114"/>
      <c r="AC126" s="114"/>
      <c r="AD126" s="114"/>
      <c r="AE126" s="114"/>
      <c r="AF126" s="114"/>
      <c r="AG126" s="114"/>
      <c r="AH126" s="114"/>
      <c r="AI126" s="114"/>
      <c r="AJ126" s="114"/>
      <c r="AK126" s="114"/>
      <c r="AL126" s="114"/>
      <c r="AM126" s="114"/>
      <c r="AN126" s="114"/>
      <c r="AO126" s="114"/>
      <c r="AP126" s="114"/>
      <c r="AQ126" s="114"/>
      <c r="AR126" s="115"/>
      <c r="AW126" s="33">
        <v>0</v>
      </c>
      <c r="AY126">
        <v>0</v>
      </c>
    </row>
    <row r="127" spans="2:51" x14ac:dyDescent="0.25">
      <c r="C127" s="113"/>
      <c r="D127" s="114"/>
      <c r="E127" s="114"/>
      <c r="F127" s="114"/>
      <c r="G127" s="114"/>
      <c r="H127" s="114"/>
      <c r="I127" s="114"/>
      <c r="J127" s="114"/>
      <c r="K127" s="114"/>
      <c r="L127" s="114"/>
      <c r="M127" s="114"/>
      <c r="N127" s="114"/>
      <c r="O127" s="114"/>
      <c r="P127" s="114"/>
      <c r="Q127" s="114"/>
      <c r="R127" s="114"/>
      <c r="S127" s="114"/>
      <c r="T127" s="114"/>
      <c r="U127" s="114"/>
      <c r="V127" s="114"/>
      <c r="W127" s="114"/>
      <c r="X127" s="114"/>
      <c r="Y127" s="114"/>
      <c r="Z127" s="114"/>
      <c r="AA127" s="114"/>
      <c r="AB127" s="114"/>
      <c r="AC127" s="114"/>
      <c r="AD127" s="114"/>
      <c r="AE127" s="114"/>
      <c r="AF127" s="114"/>
      <c r="AG127" s="114"/>
      <c r="AH127" s="114"/>
      <c r="AI127" s="114"/>
      <c r="AJ127" s="114"/>
      <c r="AK127" s="114"/>
      <c r="AL127" s="114"/>
      <c r="AM127" s="114"/>
      <c r="AN127" s="114"/>
      <c r="AO127" s="114"/>
      <c r="AP127" s="114"/>
      <c r="AQ127" s="114"/>
      <c r="AR127" s="115"/>
      <c r="AW127" s="33">
        <v>0</v>
      </c>
      <c r="AY127">
        <v>0</v>
      </c>
    </row>
    <row r="128" spans="2:51" x14ac:dyDescent="0.25">
      <c r="C128" s="113"/>
      <c r="D128" s="114"/>
      <c r="E128" s="114"/>
      <c r="F128" s="114"/>
      <c r="G128" s="114"/>
      <c r="H128" s="114"/>
      <c r="I128" s="114"/>
      <c r="J128" s="114"/>
      <c r="K128" s="114"/>
      <c r="L128" s="114"/>
      <c r="M128" s="114"/>
      <c r="N128" s="114"/>
      <c r="O128" s="114"/>
      <c r="P128" s="114"/>
      <c r="Q128" s="114"/>
      <c r="R128" s="114"/>
      <c r="S128" s="114"/>
      <c r="T128" s="114"/>
      <c r="U128" s="114"/>
      <c r="V128" s="114"/>
      <c r="W128" s="114"/>
      <c r="X128" s="114"/>
      <c r="Y128" s="114"/>
      <c r="Z128" s="114"/>
      <c r="AA128" s="114"/>
      <c r="AB128" s="114"/>
      <c r="AC128" s="114"/>
      <c r="AD128" s="114"/>
      <c r="AE128" s="114"/>
      <c r="AF128" s="114"/>
      <c r="AG128" s="114"/>
      <c r="AH128" s="114"/>
      <c r="AI128" s="114"/>
      <c r="AJ128" s="114"/>
      <c r="AK128" s="114"/>
      <c r="AL128" s="114"/>
      <c r="AM128" s="114"/>
      <c r="AN128" s="114"/>
      <c r="AO128" s="114"/>
      <c r="AP128" s="114"/>
      <c r="AQ128" s="114"/>
      <c r="AR128" s="115"/>
      <c r="AW128" s="33">
        <v>0</v>
      </c>
      <c r="AY128">
        <v>0</v>
      </c>
    </row>
    <row r="129" spans="3:51" x14ac:dyDescent="0.25">
      <c r="C129" s="113"/>
      <c r="D129" s="114"/>
      <c r="E129" s="114"/>
      <c r="F129" s="114"/>
      <c r="G129" s="114"/>
      <c r="H129" s="114"/>
      <c r="I129" s="114"/>
      <c r="J129" s="114"/>
      <c r="K129" s="114"/>
      <c r="L129" s="114"/>
      <c r="M129" s="114"/>
      <c r="N129" s="114"/>
      <c r="O129" s="114"/>
      <c r="P129" s="114"/>
      <c r="Q129" s="114"/>
      <c r="R129" s="114"/>
      <c r="S129" s="114"/>
      <c r="T129" s="114"/>
      <c r="U129" s="114"/>
      <c r="V129" s="114"/>
      <c r="W129" s="114"/>
      <c r="X129" s="114"/>
      <c r="Y129" s="114"/>
      <c r="Z129" s="114"/>
      <c r="AA129" s="114"/>
      <c r="AB129" s="114"/>
      <c r="AC129" s="114"/>
      <c r="AD129" s="114"/>
      <c r="AE129" s="114"/>
      <c r="AF129" s="114"/>
      <c r="AG129" s="114"/>
      <c r="AH129" s="114"/>
      <c r="AI129" s="114"/>
      <c r="AJ129" s="114"/>
      <c r="AK129" s="114"/>
      <c r="AL129" s="114"/>
      <c r="AM129" s="114"/>
      <c r="AN129" s="114"/>
      <c r="AO129" s="114"/>
      <c r="AP129" s="114"/>
      <c r="AQ129" s="114"/>
      <c r="AR129" s="115"/>
      <c r="AW129" s="33">
        <v>0</v>
      </c>
      <c r="AY129">
        <v>0</v>
      </c>
    </row>
    <row r="130" spans="3:51" x14ac:dyDescent="0.25">
      <c r="C130" s="113"/>
      <c r="D130" s="114"/>
      <c r="E130" s="114"/>
      <c r="F130" s="114"/>
      <c r="G130" s="114"/>
      <c r="H130" s="114"/>
      <c r="I130" s="114"/>
      <c r="J130" s="114"/>
      <c r="K130" s="114"/>
      <c r="L130" s="114"/>
      <c r="M130" s="114"/>
      <c r="N130" s="114"/>
      <c r="O130" s="114"/>
      <c r="P130" s="114"/>
      <c r="Q130" s="114"/>
      <c r="R130" s="114"/>
      <c r="S130" s="114"/>
      <c r="T130" s="114"/>
      <c r="U130" s="114"/>
      <c r="V130" s="114"/>
      <c r="W130" s="114"/>
      <c r="X130" s="114"/>
      <c r="Y130" s="114"/>
      <c r="Z130" s="114"/>
      <c r="AA130" s="114"/>
      <c r="AB130" s="114"/>
      <c r="AC130" s="114"/>
      <c r="AD130" s="114"/>
      <c r="AE130" s="114"/>
      <c r="AF130" s="114"/>
      <c r="AG130" s="114"/>
      <c r="AH130" s="114"/>
      <c r="AI130" s="114"/>
      <c r="AJ130" s="114"/>
      <c r="AK130" s="114"/>
      <c r="AL130" s="114"/>
      <c r="AM130" s="114"/>
      <c r="AN130" s="114"/>
      <c r="AO130" s="114"/>
      <c r="AP130" s="114"/>
      <c r="AQ130" s="114"/>
      <c r="AR130" s="115"/>
      <c r="AW130" s="33">
        <v>0</v>
      </c>
      <c r="AY130">
        <v>0</v>
      </c>
    </row>
    <row r="131" spans="3:51" x14ac:dyDescent="0.25">
      <c r="C131" s="113"/>
      <c r="D131" s="114"/>
      <c r="E131" s="114"/>
      <c r="F131" s="114"/>
      <c r="G131" s="114"/>
      <c r="H131" s="114"/>
      <c r="I131" s="114"/>
      <c r="J131" s="114"/>
      <c r="K131" s="114"/>
      <c r="L131" s="114"/>
      <c r="M131" s="114"/>
      <c r="N131" s="114"/>
      <c r="O131" s="114"/>
      <c r="P131" s="114"/>
      <c r="Q131" s="114"/>
      <c r="R131" s="114"/>
      <c r="S131" s="114"/>
      <c r="T131" s="114"/>
      <c r="U131" s="114"/>
      <c r="V131" s="114"/>
      <c r="W131" s="114"/>
      <c r="X131" s="114"/>
      <c r="Y131" s="114"/>
      <c r="Z131" s="114"/>
      <c r="AA131" s="114"/>
      <c r="AB131" s="114"/>
      <c r="AC131" s="114"/>
      <c r="AD131" s="114"/>
      <c r="AE131" s="114"/>
      <c r="AF131" s="114"/>
      <c r="AG131" s="114"/>
      <c r="AH131" s="114"/>
      <c r="AI131" s="114"/>
      <c r="AJ131" s="114"/>
      <c r="AK131" s="114"/>
      <c r="AL131" s="114"/>
      <c r="AM131" s="114"/>
      <c r="AN131" s="114"/>
      <c r="AO131" s="114"/>
      <c r="AP131" s="114"/>
      <c r="AQ131" s="114"/>
      <c r="AR131" s="115"/>
      <c r="AW131" s="33">
        <v>0</v>
      </c>
      <c r="AY131">
        <v>0</v>
      </c>
    </row>
    <row r="132" spans="3:51" x14ac:dyDescent="0.25">
      <c r="C132" s="113"/>
      <c r="D132" s="114"/>
      <c r="E132" s="114"/>
      <c r="F132" s="114"/>
      <c r="G132" s="114"/>
      <c r="H132" s="114"/>
      <c r="I132" s="114"/>
      <c r="J132" s="114"/>
      <c r="K132" s="114"/>
      <c r="L132" s="114"/>
      <c r="M132" s="114"/>
      <c r="N132" s="114"/>
      <c r="O132" s="114"/>
      <c r="P132" s="114"/>
      <c r="Q132" s="114"/>
      <c r="R132" s="114"/>
      <c r="S132" s="114"/>
      <c r="T132" s="114"/>
      <c r="U132" s="114"/>
      <c r="V132" s="114"/>
      <c r="W132" s="114"/>
      <c r="X132" s="114"/>
      <c r="Y132" s="114"/>
      <c r="Z132" s="114"/>
      <c r="AA132" s="114"/>
      <c r="AB132" s="114"/>
      <c r="AC132" s="114"/>
      <c r="AD132" s="114"/>
      <c r="AE132" s="114"/>
      <c r="AF132" s="114"/>
      <c r="AG132" s="114"/>
      <c r="AH132" s="114"/>
      <c r="AI132" s="114"/>
      <c r="AJ132" s="114"/>
      <c r="AK132" s="114"/>
      <c r="AL132" s="114"/>
      <c r="AM132" s="114"/>
      <c r="AN132" s="114"/>
      <c r="AO132" s="114"/>
      <c r="AP132" s="114"/>
      <c r="AQ132" s="114"/>
      <c r="AR132" s="115"/>
      <c r="AW132" s="33">
        <v>0</v>
      </c>
      <c r="AY132">
        <v>0</v>
      </c>
    </row>
    <row r="133" spans="3:51" x14ac:dyDescent="0.25">
      <c r="C133" s="113"/>
      <c r="D133" s="114"/>
      <c r="E133" s="114"/>
      <c r="F133" s="114"/>
      <c r="G133" s="114"/>
      <c r="H133" s="114"/>
      <c r="I133" s="114"/>
      <c r="J133" s="114"/>
      <c r="K133" s="114"/>
      <c r="L133" s="114"/>
      <c r="M133" s="114"/>
      <c r="N133" s="114"/>
      <c r="O133" s="114"/>
      <c r="P133" s="114"/>
      <c r="Q133" s="114"/>
      <c r="R133" s="114"/>
      <c r="S133" s="114"/>
      <c r="T133" s="114"/>
      <c r="U133" s="114"/>
      <c r="V133" s="114"/>
      <c r="W133" s="114"/>
      <c r="X133" s="114"/>
      <c r="Y133" s="114"/>
      <c r="Z133" s="114"/>
      <c r="AA133" s="114"/>
      <c r="AB133" s="114"/>
      <c r="AC133" s="114"/>
      <c r="AD133" s="114"/>
      <c r="AE133" s="114"/>
      <c r="AF133" s="114"/>
      <c r="AG133" s="114"/>
      <c r="AH133" s="114"/>
      <c r="AI133" s="114"/>
      <c r="AJ133" s="114"/>
      <c r="AK133" s="114"/>
      <c r="AL133" s="114"/>
      <c r="AM133" s="114"/>
      <c r="AN133" s="114"/>
      <c r="AO133" s="114"/>
      <c r="AP133" s="114"/>
      <c r="AQ133" s="114"/>
      <c r="AR133" s="115"/>
      <c r="AW133" s="33">
        <v>0</v>
      </c>
      <c r="AY133">
        <v>0</v>
      </c>
    </row>
    <row r="134" spans="3:51" x14ac:dyDescent="0.25">
      <c r="C134" s="113"/>
      <c r="D134" s="114"/>
      <c r="E134" s="114"/>
      <c r="F134" s="114"/>
      <c r="G134" s="114"/>
      <c r="H134" s="114"/>
      <c r="I134" s="114"/>
      <c r="J134" s="114"/>
      <c r="K134" s="114"/>
      <c r="L134" s="114"/>
      <c r="M134" s="114"/>
      <c r="N134" s="114"/>
      <c r="O134" s="114"/>
      <c r="P134" s="114"/>
      <c r="Q134" s="114"/>
      <c r="R134" s="114"/>
      <c r="S134" s="114"/>
      <c r="T134" s="114"/>
      <c r="U134" s="114"/>
      <c r="V134" s="114"/>
      <c r="W134" s="114"/>
      <c r="X134" s="114"/>
      <c r="Y134" s="114"/>
      <c r="Z134" s="114"/>
      <c r="AA134" s="114"/>
      <c r="AB134" s="114"/>
      <c r="AC134" s="114"/>
      <c r="AD134" s="114"/>
      <c r="AE134" s="114"/>
      <c r="AF134" s="114"/>
      <c r="AG134" s="114"/>
      <c r="AH134" s="114"/>
      <c r="AI134" s="114"/>
      <c r="AJ134" s="114"/>
      <c r="AK134" s="114"/>
      <c r="AL134" s="114"/>
      <c r="AM134" s="114"/>
      <c r="AN134" s="114"/>
      <c r="AO134" s="114"/>
      <c r="AP134" s="114"/>
      <c r="AQ134" s="114"/>
      <c r="AR134" s="115"/>
      <c r="AW134" s="33">
        <v>0</v>
      </c>
      <c r="AY134">
        <v>0</v>
      </c>
    </row>
    <row r="135" spans="3:51" x14ac:dyDescent="0.25">
      <c r="C135" s="113"/>
      <c r="D135" s="114"/>
      <c r="E135" s="114"/>
      <c r="F135" s="114"/>
      <c r="G135" s="114"/>
      <c r="H135" s="114"/>
      <c r="I135" s="114"/>
      <c r="J135" s="114"/>
      <c r="K135" s="114"/>
      <c r="L135" s="114"/>
      <c r="M135" s="114"/>
      <c r="N135" s="114"/>
      <c r="O135" s="114"/>
      <c r="P135" s="114"/>
      <c r="Q135" s="114"/>
      <c r="R135" s="114"/>
      <c r="S135" s="114"/>
      <c r="T135" s="114"/>
      <c r="U135" s="114"/>
      <c r="V135" s="114"/>
      <c r="W135" s="114"/>
      <c r="X135" s="114"/>
      <c r="Y135" s="114"/>
      <c r="Z135" s="114"/>
      <c r="AA135" s="114"/>
      <c r="AB135" s="114"/>
      <c r="AC135" s="114"/>
      <c r="AD135" s="114"/>
      <c r="AE135" s="114"/>
      <c r="AF135" s="114"/>
      <c r="AG135" s="114"/>
      <c r="AH135" s="114"/>
      <c r="AI135" s="114"/>
      <c r="AJ135" s="114"/>
      <c r="AK135" s="114"/>
      <c r="AL135" s="114"/>
      <c r="AM135" s="114"/>
      <c r="AN135" s="114"/>
      <c r="AO135" s="114"/>
      <c r="AP135" s="114"/>
      <c r="AQ135" s="114"/>
      <c r="AR135" s="115"/>
      <c r="AW135" s="33">
        <v>0</v>
      </c>
      <c r="AY135">
        <v>0</v>
      </c>
    </row>
    <row r="136" spans="3:51" x14ac:dyDescent="0.25">
      <c r="C136" s="113"/>
      <c r="D136" s="114"/>
      <c r="E136" s="114"/>
      <c r="F136" s="114"/>
      <c r="G136" s="114"/>
      <c r="H136" s="114"/>
      <c r="I136" s="114"/>
      <c r="J136" s="114"/>
      <c r="K136" s="114"/>
      <c r="L136" s="114"/>
      <c r="M136" s="114"/>
      <c r="N136" s="114"/>
      <c r="O136" s="114"/>
      <c r="P136" s="114"/>
      <c r="Q136" s="114"/>
      <c r="R136" s="114"/>
      <c r="S136" s="114"/>
      <c r="T136" s="114"/>
      <c r="U136" s="114"/>
      <c r="V136" s="114"/>
      <c r="W136" s="114"/>
      <c r="X136" s="114"/>
      <c r="Y136" s="114"/>
      <c r="Z136" s="114"/>
      <c r="AA136" s="114"/>
      <c r="AB136" s="114"/>
      <c r="AC136" s="114"/>
      <c r="AD136" s="114"/>
      <c r="AE136" s="114"/>
      <c r="AF136" s="114"/>
      <c r="AG136" s="114"/>
      <c r="AH136" s="114"/>
      <c r="AI136" s="114"/>
      <c r="AJ136" s="114"/>
      <c r="AK136" s="114"/>
      <c r="AL136" s="114"/>
      <c r="AM136" s="114"/>
      <c r="AN136" s="114"/>
      <c r="AO136" s="114"/>
      <c r="AP136" s="114"/>
      <c r="AQ136" s="114"/>
      <c r="AR136" s="115"/>
      <c r="AW136" s="33">
        <v>0</v>
      </c>
      <c r="AY136">
        <v>0</v>
      </c>
    </row>
    <row r="137" spans="3:51" x14ac:dyDescent="0.25">
      <c r="C137" s="113"/>
      <c r="D137" s="114"/>
      <c r="E137" s="114"/>
      <c r="F137" s="114"/>
      <c r="G137" s="114"/>
      <c r="H137" s="114"/>
      <c r="I137" s="114"/>
      <c r="J137" s="114"/>
      <c r="K137" s="114"/>
      <c r="L137" s="114"/>
      <c r="M137" s="114"/>
      <c r="N137" s="114"/>
      <c r="O137" s="114"/>
      <c r="P137" s="114"/>
      <c r="Q137" s="114"/>
      <c r="R137" s="114"/>
      <c r="S137" s="114"/>
      <c r="T137" s="114"/>
      <c r="U137" s="114"/>
      <c r="V137" s="114"/>
      <c r="W137" s="114"/>
      <c r="X137" s="114"/>
      <c r="Y137" s="114"/>
      <c r="Z137" s="114"/>
      <c r="AA137" s="114"/>
      <c r="AB137" s="114"/>
      <c r="AC137" s="114"/>
      <c r="AD137" s="114"/>
      <c r="AE137" s="114"/>
      <c r="AF137" s="114"/>
      <c r="AG137" s="114"/>
      <c r="AH137" s="114"/>
      <c r="AI137" s="114"/>
      <c r="AJ137" s="114"/>
      <c r="AK137" s="114"/>
      <c r="AL137" s="114"/>
      <c r="AM137" s="114"/>
      <c r="AN137" s="114"/>
      <c r="AO137" s="114"/>
      <c r="AP137" s="114"/>
      <c r="AQ137" s="114"/>
      <c r="AR137" s="115"/>
      <c r="AW137" s="33">
        <v>0</v>
      </c>
      <c r="AY137">
        <v>0</v>
      </c>
    </row>
    <row r="138" spans="3:51" x14ac:dyDescent="0.25">
      <c r="C138" s="113"/>
      <c r="D138" s="114"/>
      <c r="E138" s="114"/>
      <c r="F138" s="114"/>
      <c r="G138" s="114"/>
      <c r="H138" s="114"/>
      <c r="I138" s="114"/>
      <c r="J138" s="114"/>
      <c r="K138" s="114"/>
      <c r="L138" s="114"/>
      <c r="M138" s="114"/>
      <c r="N138" s="114"/>
      <c r="O138" s="114"/>
      <c r="P138" s="114"/>
      <c r="Q138" s="114"/>
      <c r="R138" s="114"/>
      <c r="S138" s="114"/>
      <c r="T138" s="114"/>
      <c r="U138" s="114"/>
      <c r="V138" s="114"/>
      <c r="W138" s="114"/>
      <c r="X138" s="114"/>
      <c r="Y138" s="114"/>
      <c r="Z138" s="114"/>
      <c r="AA138" s="114"/>
      <c r="AB138" s="114"/>
      <c r="AC138" s="114"/>
      <c r="AD138" s="114"/>
      <c r="AE138" s="114"/>
      <c r="AF138" s="114"/>
      <c r="AG138" s="114"/>
      <c r="AH138" s="114"/>
      <c r="AI138" s="114"/>
      <c r="AJ138" s="114"/>
      <c r="AK138" s="114"/>
      <c r="AL138" s="114"/>
      <c r="AM138" s="114"/>
      <c r="AN138" s="114"/>
      <c r="AO138" s="114"/>
      <c r="AP138" s="114"/>
      <c r="AQ138" s="114"/>
      <c r="AR138" s="115"/>
      <c r="AW138" s="33">
        <v>0</v>
      </c>
      <c r="AY138">
        <v>0</v>
      </c>
    </row>
    <row r="139" spans="3:51" x14ac:dyDescent="0.25">
      <c r="C139" s="113"/>
      <c r="D139" s="114"/>
      <c r="E139" s="114"/>
      <c r="F139" s="114"/>
      <c r="G139" s="114"/>
      <c r="H139" s="114"/>
      <c r="I139" s="114"/>
      <c r="J139" s="114"/>
      <c r="K139" s="114"/>
      <c r="L139" s="114"/>
      <c r="M139" s="114"/>
      <c r="N139" s="114"/>
      <c r="O139" s="114"/>
      <c r="P139" s="114"/>
      <c r="Q139" s="114"/>
      <c r="R139" s="114"/>
      <c r="S139" s="114"/>
      <c r="T139" s="114"/>
      <c r="U139" s="114"/>
      <c r="V139" s="114"/>
      <c r="W139" s="114"/>
      <c r="X139" s="114"/>
      <c r="Y139" s="114"/>
      <c r="Z139" s="114"/>
      <c r="AA139" s="114"/>
      <c r="AB139" s="114"/>
      <c r="AC139" s="114"/>
      <c r="AD139" s="114"/>
      <c r="AE139" s="114"/>
      <c r="AF139" s="114"/>
      <c r="AG139" s="114"/>
      <c r="AH139" s="114"/>
      <c r="AI139" s="114"/>
      <c r="AJ139" s="114"/>
      <c r="AK139" s="114"/>
      <c r="AL139" s="114"/>
      <c r="AM139" s="114"/>
      <c r="AN139" s="114"/>
      <c r="AO139" s="114"/>
      <c r="AP139" s="114"/>
      <c r="AQ139" s="114"/>
      <c r="AR139" s="115"/>
      <c r="AW139" s="33">
        <v>0</v>
      </c>
      <c r="AY139">
        <v>0</v>
      </c>
    </row>
    <row r="140" spans="3:51" x14ac:dyDescent="0.25">
      <c r="C140" s="113"/>
      <c r="D140" s="114"/>
      <c r="E140" s="114"/>
      <c r="F140" s="114"/>
      <c r="G140" s="114"/>
      <c r="H140" s="114"/>
      <c r="I140" s="114"/>
      <c r="J140" s="114"/>
      <c r="K140" s="114"/>
      <c r="L140" s="114"/>
      <c r="M140" s="114"/>
      <c r="N140" s="114"/>
      <c r="O140" s="114"/>
      <c r="P140" s="114"/>
      <c r="Q140" s="114"/>
      <c r="R140" s="114"/>
      <c r="S140" s="114"/>
      <c r="T140" s="114"/>
      <c r="U140" s="114"/>
      <c r="V140" s="114"/>
      <c r="W140" s="114"/>
      <c r="X140" s="114"/>
      <c r="Y140" s="114"/>
      <c r="Z140" s="114"/>
      <c r="AA140" s="114"/>
      <c r="AB140" s="114"/>
      <c r="AC140" s="114"/>
      <c r="AD140" s="114"/>
      <c r="AE140" s="114"/>
      <c r="AF140" s="114"/>
      <c r="AG140" s="114"/>
      <c r="AH140" s="114"/>
      <c r="AI140" s="114"/>
      <c r="AJ140" s="114"/>
      <c r="AK140" s="114"/>
      <c r="AL140" s="114"/>
      <c r="AM140" s="114"/>
      <c r="AN140" s="114"/>
      <c r="AO140" s="114"/>
      <c r="AP140" s="114"/>
      <c r="AQ140" s="114"/>
      <c r="AR140" s="115"/>
      <c r="AW140" s="33">
        <v>0</v>
      </c>
      <c r="AY140">
        <v>0</v>
      </c>
    </row>
    <row r="141" spans="3:51" x14ac:dyDescent="0.25">
      <c r="C141" s="113"/>
      <c r="D141" s="114"/>
      <c r="E141" s="114"/>
      <c r="F141" s="114"/>
      <c r="G141" s="114"/>
      <c r="H141" s="114"/>
      <c r="I141" s="114"/>
      <c r="J141" s="114"/>
      <c r="K141" s="114"/>
      <c r="L141" s="114"/>
      <c r="M141" s="114"/>
      <c r="N141" s="114"/>
      <c r="O141" s="114"/>
      <c r="P141" s="114"/>
      <c r="Q141" s="114"/>
      <c r="R141" s="114"/>
      <c r="S141" s="114"/>
      <c r="T141" s="114"/>
      <c r="U141" s="114"/>
      <c r="V141" s="114"/>
      <c r="W141" s="114"/>
      <c r="X141" s="114"/>
      <c r="Y141" s="114"/>
      <c r="Z141" s="114"/>
      <c r="AA141" s="114"/>
      <c r="AB141" s="114"/>
      <c r="AC141" s="114"/>
      <c r="AD141" s="114"/>
      <c r="AE141" s="114"/>
      <c r="AF141" s="114"/>
      <c r="AG141" s="114"/>
      <c r="AH141" s="114"/>
      <c r="AI141" s="114"/>
      <c r="AJ141" s="114"/>
      <c r="AK141" s="114"/>
      <c r="AL141" s="114"/>
      <c r="AM141" s="114"/>
      <c r="AN141" s="114"/>
      <c r="AO141" s="114"/>
      <c r="AP141" s="114"/>
      <c r="AQ141" s="114"/>
      <c r="AR141" s="115"/>
      <c r="AW141" s="33">
        <v>0</v>
      </c>
      <c r="AY141">
        <v>0</v>
      </c>
    </row>
    <row r="142" spans="3:51" x14ac:dyDescent="0.25">
      <c r="C142" s="113"/>
      <c r="D142" s="114"/>
      <c r="E142" s="114"/>
      <c r="F142" s="114"/>
      <c r="G142" s="114"/>
      <c r="H142" s="114"/>
      <c r="I142" s="114"/>
      <c r="J142" s="114"/>
      <c r="K142" s="114"/>
      <c r="L142" s="114"/>
      <c r="M142" s="114"/>
      <c r="N142" s="114"/>
      <c r="O142" s="114"/>
      <c r="P142" s="114"/>
      <c r="Q142" s="114"/>
      <c r="R142" s="114"/>
      <c r="S142" s="114"/>
      <c r="T142" s="114"/>
      <c r="U142" s="114"/>
      <c r="V142" s="114"/>
      <c r="W142" s="114"/>
      <c r="X142" s="114"/>
      <c r="Y142" s="114"/>
      <c r="Z142" s="114"/>
      <c r="AA142" s="114"/>
      <c r="AB142" s="114"/>
      <c r="AC142" s="114"/>
      <c r="AD142" s="114"/>
      <c r="AE142" s="114"/>
      <c r="AF142" s="114"/>
      <c r="AG142" s="114"/>
      <c r="AH142" s="114"/>
      <c r="AI142" s="114"/>
      <c r="AJ142" s="114"/>
      <c r="AK142" s="114"/>
      <c r="AL142" s="114"/>
      <c r="AM142" s="114"/>
      <c r="AN142" s="114"/>
      <c r="AO142" s="114"/>
      <c r="AP142" s="114"/>
      <c r="AQ142" s="114"/>
      <c r="AR142" s="115"/>
      <c r="AW142" s="33">
        <v>0</v>
      </c>
      <c r="AY142">
        <v>0</v>
      </c>
    </row>
    <row r="143" spans="3:51" x14ac:dyDescent="0.25">
      <c r="C143" s="113"/>
      <c r="D143" s="114"/>
      <c r="E143" s="114"/>
      <c r="F143" s="114"/>
      <c r="G143" s="114"/>
      <c r="H143" s="114"/>
      <c r="I143" s="114"/>
      <c r="J143" s="114"/>
      <c r="K143" s="114"/>
      <c r="L143" s="114"/>
      <c r="M143" s="114"/>
      <c r="N143" s="114"/>
      <c r="O143" s="114"/>
      <c r="P143" s="114"/>
      <c r="Q143" s="114"/>
      <c r="R143" s="114"/>
      <c r="S143" s="114"/>
      <c r="T143" s="114"/>
      <c r="U143" s="114"/>
      <c r="V143" s="114"/>
      <c r="W143" s="114"/>
      <c r="X143" s="114"/>
      <c r="Y143" s="114"/>
      <c r="Z143" s="114"/>
      <c r="AA143" s="114"/>
      <c r="AB143" s="114"/>
      <c r="AC143" s="114"/>
      <c r="AD143" s="114"/>
      <c r="AE143" s="114"/>
      <c r="AF143" s="114"/>
      <c r="AG143" s="114"/>
      <c r="AH143" s="114"/>
      <c r="AI143" s="114"/>
      <c r="AJ143" s="114"/>
      <c r="AK143" s="114"/>
      <c r="AL143" s="114"/>
      <c r="AM143" s="114"/>
      <c r="AN143" s="114"/>
      <c r="AO143" s="114"/>
      <c r="AP143" s="114"/>
      <c r="AQ143" s="114"/>
      <c r="AR143" s="115"/>
      <c r="AW143" s="33">
        <v>0</v>
      </c>
      <c r="AY143">
        <v>0</v>
      </c>
    </row>
    <row r="144" spans="3:51" x14ac:dyDescent="0.25">
      <c r="C144" s="113"/>
      <c r="D144" s="114"/>
      <c r="E144" s="114"/>
      <c r="F144" s="114"/>
      <c r="G144" s="114"/>
      <c r="H144" s="114"/>
      <c r="I144" s="114"/>
      <c r="J144" s="114"/>
      <c r="K144" s="114"/>
      <c r="L144" s="114"/>
      <c r="M144" s="114"/>
      <c r="N144" s="114"/>
      <c r="O144" s="114"/>
      <c r="P144" s="114"/>
      <c r="Q144" s="114"/>
      <c r="R144" s="114"/>
      <c r="S144" s="114"/>
      <c r="T144" s="114"/>
      <c r="U144" s="114"/>
      <c r="V144" s="114"/>
      <c r="W144" s="114"/>
      <c r="X144" s="114"/>
      <c r="Y144" s="114"/>
      <c r="Z144" s="114"/>
      <c r="AA144" s="114"/>
      <c r="AB144" s="114"/>
      <c r="AC144" s="114"/>
      <c r="AD144" s="114"/>
      <c r="AE144" s="114"/>
      <c r="AF144" s="114"/>
      <c r="AG144" s="114"/>
      <c r="AH144" s="114"/>
      <c r="AI144" s="114"/>
      <c r="AJ144" s="114"/>
      <c r="AK144" s="114"/>
      <c r="AL144" s="114"/>
      <c r="AM144" s="114"/>
      <c r="AN144" s="114"/>
      <c r="AO144" s="114"/>
      <c r="AP144" s="114"/>
      <c r="AQ144" s="114"/>
      <c r="AR144" s="115"/>
      <c r="AW144" s="33">
        <v>0</v>
      </c>
      <c r="AY144">
        <v>0</v>
      </c>
    </row>
    <row r="145" spans="3:51" x14ac:dyDescent="0.25">
      <c r="C145" s="113"/>
      <c r="D145" s="114"/>
      <c r="E145" s="114"/>
      <c r="F145" s="114"/>
      <c r="G145" s="114"/>
      <c r="H145" s="114"/>
      <c r="I145" s="114"/>
      <c r="J145" s="114"/>
      <c r="K145" s="114"/>
      <c r="L145" s="114"/>
      <c r="M145" s="114"/>
      <c r="N145" s="114"/>
      <c r="O145" s="114"/>
      <c r="P145" s="114"/>
      <c r="Q145" s="114"/>
      <c r="R145" s="114"/>
      <c r="S145" s="114"/>
      <c r="T145" s="114"/>
      <c r="U145" s="114"/>
      <c r="V145" s="114"/>
      <c r="W145" s="114"/>
      <c r="X145" s="114"/>
      <c r="Y145" s="114"/>
      <c r="Z145" s="114"/>
      <c r="AA145" s="114"/>
      <c r="AB145" s="114"/>
      <c r="AC145" s="114"/>
      <c r="AD145" s="114"/>
      <c r="AE145" s="114"/>
      <c r="AF145" s="114"/>
      <c r="AG145" s="114"/>
      <c r="AH145" s="114"/>
      <c r="AI145" s="114"/>
      <c r="AJ145" s="114"/>
      <c r="AK145" s="114"/>
      <c r="AL145" s="114"/>
      <c r="AM145" s="114"/>
      <c r="AN145" s="114"/>
      <c r="AO145" s="114"/>
      <c r="AP145" s="114"/>
      <c r="AQ145" s="114"/>
      <c r="AR145" s="115"/>
      <c r="AW145" s="33">
        <v>0</v>
      </c>
      <c r="AY145">
        <v>0</v>
      </c>
    </row>
    <row r="146" spans="3:51" x14ac:dyDescent="0.25">
      <c r="C146" s="113"/>
      <c r="D146" s="114"/>
      <c r="E146" s="114"/>
      <c r="F146" s="114"/>
      <c r="G146" s="114"/>
      <c r="H146" s="114"/>
      <c r="I146" s="114"/>
      <c r="J146" s="114"/>
      <c r="K146" s="114"/>
      <c r="L146" s="114"/>
      <c r="M146" s="114"/>
      <c r="N146" s="114"/>
      <c r="O146" s="114"/>
      <c r="P146" s="114"/>
      <c r="Q146" s="114"/>
      <c r="R146" s="114"/>
      <c r="S146" s="114"/>
      <c r="T146" s="114"/>
      <c r="U146" s="114"/>
      <c r="V146" s="114"/>
      <c r="W146" s="114"/>
      <c r="X146" s="114"/>
      <c r="Y146" s="114"/>
      <c r="Z146" s="114"/>
      <c r="AA146" s="114"/>
      <c r="AB146" s="114"/>
      <c r="AC146" s="114"/>
      <c r="AD146" s="114"/>
      <c r="AE146" s="114"/>
      <c r="AF146" s="114"/>
      <c r="AG146" s="114"/>
      <c r="AH146" s="114"/>
      <c r="AI146" s="114"/>
      <c r="AJ146" s="114"/>
      <c r="AK146" s="114"/>
      <c r="AL146" s="114"/>
      <c r="AM146" s="114"/>
      <c r="AN146" s="114"/>
      <c r="AO146" s="114"/>
      <c r="AP146" s="114"/>
      <c r="AQ146" s="114"/>
      <c r="AR146" s="115"/>
      <c r="AW146" s="33">
        <v>0</v>
      </c>
      <c r="AY146">
        <v>0</v>
      </c>
    </row>
    <row r="147" spans="3:51" x14ac:dyDescent="0.25">
      <c r="C147" s="113"/>
      <c r="D147" s="114"/>
      <c r="E147" s="114"/>
      <c r="F147" s="114"/>
      <c r="G147" s="114"/>
      <c r="H147" s="114"/>
      <c r="I147" s="114"/>
      <c r="J147" s="114"/>
      <c r="K147" s="114"/>
      <c r="L147" s="114"/>
      <c r="M147" s="114"/>
      <c r="N147" s="114"/>
      <c r="O147" s="114"/>
      <c r="P147" s="114"/>
      <c r="Q147" s="114"/>
      <c r="R147" s="114"/>
      <c r="S147" s="114"/>
      <c r="T147" s="114"/>
      <c r="U147" s="114"/>
      <c r="V147" s="114"/>
      <c r="W147" s="114"/>
      <c r="X147" s="114"/>
      <c r="Y147" s="114"/>
      <c r="Z147" s="114"/>
      <c r="AA147" s="114"/>
      <c r="AB147" s="114"/>
      <c r="AC147" s="114"/>
      <c r="AD147" s="114"/>
      <c r="AE147" s="114"/>
      <c r="AF147" s="114"/>
      <c r="AG147" s="114"/>
      <c r="AH147" s="114"/>
      <c r="AI147" s="114"/>
      <c r="AJ147" s="114"/>
      <c r="AK147" s="114"/>
      <c r="AL147" s="114"/>
      <c r="AM147" s="114"/>
      <c r="AN147" s="114"/>
      <c r="AO147" s="114"/>
      <c r="AP147" s="114"/>
      <c r="AQ147" s="114"/>
      <c r="AR147" s="115"/>
      <c r="AW147" s="33">
        <v>0</v>
      </c>
      <c r="AY147">
        <v>0</v>
      </c>
    </row>
    <row r="148" spans="3:51" x14ac:dyDescent="0.25">
      <c r="C148" s="113"/>
      <c r="D148" s="114"/>
      <c r="E148" s="114"/>
      <c r="F148" s="114"/>
      <c r="G148" s="114"/>
      <c r="H148" s="114"/>
      <c r="I148" s="114"/>
      <c r="J148" s="114"/>
      <c r="K148" s="114"/>
      <c r="L148" s="114"/>
      <c r="M148" s="114"/>
      <c r="N148" s="114"/>
      <c r="O148" s="114"/>
      <c r="P148" s="114"/>
      <c r="Q148" s="114"/>
      <c r="R148" s="114"/>
      <c r="S148" s="114"/>
      <c r="T148" s="114"/>
      <c r="U148" s="114"/>
      <c r="V148" s="114"/>
      <c r="W148" s="114"/>
      <c r="X148" s="114"/>
      <c r="Y148" s="114"/>
      <c r="Z148" s="114"/>
      <c r="AA148" s="114"/>
      <c r="AB148" s="114"/>
      <c r="AC148" s="114"/>
      <c r="AD148" s="114"/>
      <c r="AE148" s="114"/>
      <c r="AF148" s="114"/>
      <c r="AG148" s="114"/>
      <c r="AH148" s="114"/>
      <c r="AI148" s="114"/>
      <c r="AJ148" s="114"/>
      <c r="AK148" s="114"/>
      <c r="AL148" s="114"/>
      <c r="AM148" s="114"/>
      <c r="AN148" s="114"/>
      <c r="AO148" s="114"/>
      <c r="AP148" s="114"/>
      <c r="AQ148" s="114"/>
      <c r="AR148" s="115"/>
      <c r="AW148" s="33">
        <v>0</v>
      </c>
      <c r="AY148">
        <v>0</v>
      </c>
    </row>
    <row r="149" spans="3:51" x14ac:dyDescent="0.25">
      <c r="C149" s="113"/>
      <c r="D149" s="114"/>
      <c r="E149" s="114"/>
      <c r="F149" s="114"/>
      <c r="G149" s="114"/>
      <c r="H149" s="114"/>
      <c r="I149" s="114"/>
      <c r="J149" s="114"/>
      <c r="K149" s="114"/>
      <c r="L149" s="114"/>
      <c r="M149" s="114"/>
      <c r="N149" s="114"/>
      <c r="O149" s="114"/>
      <c r="P149" s="114"/>
      <c r="Q149" s="114"/>
      <c r="R149" s="114"/>
      <c r="S149" s="114"/>
      <c r="T149" s="114"/>
      <c r="U149" s="114"/>
      <c r="V149" s="114"/>
      <c r="W149" s="114"/>
      <c r="X149" s="114"/>
      <c r="Y149" s="114"/>
      <c r="Z149" s="114"/>
      <c r="AA149" s="114"/>
      <c r="AB149" s="114"/>
      <c r="AC149" s="114"/>
      <c r="AD149" s="114"/>
      <c r="AE149" s="114"/>
      <c r="AF149" s="114"/>
      <c r="AG149" s="114"/>
      <c r="AH149" s="114"/>
      <c r="AI149" s="114"/>
      <c r="AJ149" s="114"/>
      <c r="AK149" s="114"/>
      <c r="AL149" s="114"/>
      <c r="AM149" s="114"/>
      <c r="AN149" s="114"/>
      <c r="AO149" s="114"/>
      <c r="AP149" s="114"/>
      <c r="AQ149" s="114"/>
      <c r="AR149" s="115"/>
      <c r="AW149" s="33">
        <v>0</v>
      </c>
      <c r="AY149">
        <v>0</v>
      </c>
    </row>
    <row r="150" spans="3:51" x14ac:dyDescent="0.25">
      <c r="C150" s="113"/>
      <c r="D150" s="114"/>
      <c r="E150" s="114"/>
      <c r="F150" s="114"/>
      <c r="G150" s="114"/>
      <c r="H150" s="114"/>
      <c r="I150" s="114"/>
      <c r="J150" s="114"/>
      <c r="K150" s="114"/>
      <c r="L150" s="114"/>
      <c r="M150" s="114"/>
      <c r="N150" s="114"/>
      <c r="O150" s="114"/>
      <c r="P150" s="114"/>
      <c r="Q150" s="114"/>
      <c r="R150" s="114"/>
      <c r="S150" s="114"/>
      <c r="T150" s="114"/>
      <c r="U150" s="114"/>
      <c r="V150" s="114"/>
      <c r="W150" s="114"/>
      <c r="X150" s="114"/>
      <c r="Y150" s="114"/>
      <c r="Z150" s="114"/>
      <c r="AA150" s="114"/>
      <c r="AB150" s="114"/>
      <c r="AC150" s="114"/>
      <c r="AD150" s="114"/>
      <c r="AE150" s="114"/>
      <c r="AF150" s="114"/>
      <c r="AG150" s="114"/>
      <c r="AH150" s="114"/>
      <c r="AI150" s="114"/>
      <c r="AJ150" s="114"/>
      <c r="AK150" s="114"/>
      <c r="AL150" s="114"/>
      <c r="AM150" s="114"/>
      <c r="AN150" s="114"/>
      <c r="AO150" s="114"/>
      <c r="AP150" s="114"/>
      <c r="AQ150" s="114"/>
      <c r="AR150" s="115"/>
      <c r="AW150" s="33">
        <v>0</v>
      </c>
      <c r="AY150">
        <v>0</v>
      </c>
    </row>
    <row r="151" spans="3:51" x14ac:dyDescent="0.25">
      <c r="C151" s="113"/>
      <c r="D151" s="114"/>
      <c r="E151" s="114"/>
      <c r="F151" s="114"/>
      <c r="G151" s="114"/>
      <c r="H151" s="114"/>
      <c r="I151" s="114"/>
      <c r="J151" s="114"/>
      <c r="K151" s="114"/>
      <c r="L151" s="114"/>
      <c r="M151" s="114"/>
      <c r="N151" s="114"/>
      <c r="O151" s="114"/>
      <c r="P151" s="114"/>
      <c r="Q151" s="114"/>
      <c r="R151" s="114"/>
      <c r="S151" s="114"/>
      <c r="T151" s="114"/>
      <c r="U151" s="114"/>
      <c r="V151" s="114"/>
      <c r="W151" s="114"/>
      <c r="X151" s="114"/>
      <c r="Y151" s="114"/>
      <c r="Z151" s="114"/>
      <c r="AA151" s="114"/>
      <c r="AB151" s="114"/>
      <c r="AC151" s="114"/>
      <c r="AD151" s="114"/>
      <c r="AE151" s="114"/>
      <c r="AF151" s="114"/>
      <c r="AG151" s="114"/>
      <c r="AH151" s="114"/>
      <c r="AI151" s="114"/>
      <c r="AJ151" s="114"/>
      <c r="AK151" s="114"/>
      <c r="AL151" s="114"/>
      <c r="AM151" s="114"/>
      <c r="AN151" s="114"/>
      <c r="AO151" s="114"/>
      <c r="AP151" s="114"/>
      <c r="AQ151" s="114"/>
      <c r="AR151" s="115"/>
      <c r="AW151" s="33">
        <v>0</v>
      </c>
      <c r="AY151">
        <v>0</v>
      </c>
    </row>
    <row r="152" spans="3:51" x14ac:dyDescent="0.25">
      <c r="C152" s="113"/>
      <c r="D152" s="114"/>
      <c r="E152" s="114"/>
      <c r="F152" s="114"/>
      <c r="G152" s="114"/>
      <c r="H152" s="114"/>
      <c r="I152" s="114"/>
      <c r="J152" s="114"/>
      <c r="K152" s="114"/>
      <c r="L152" s="114"/>
      <c r="M152" s="114"/>
      <c r="N152" s="114"/>
      <c r="O152" s="114"/>
      <c r="P152" s="114"/>
      <c r="Q152" s="114"/>
      <c r="R152" s="114"/>
      <c r="S152" s="114"/>
      <c r="T152" s="114"/>
      <c r="U152" s="114"/>
      <c r="V152" s="114"/>
      <c r="W152" s="114"/>
      <c r="X152" s="114"/>
      <c r="Y152" s="114"/>
      <c r="Z152" s="114"/>
      <c r="AA152" s="114"/>
      <c r="AB152" s="114"/>
      <c r="AC152" s="114"/>
      <c r="AD152" s="114"/>
      <c r="AE152" s="114"/>
      <c r="AF152" s="114"/>
      <c r="AG152" s="114"/>
      <c r="AH152" s="114"/>
      <c r="AI152" s="114"/>
      <c r="AJ152" s="114"/>
      <c r="AK152" s="114"/>
      <c r="AL152" s="114"/>
      <c r="AM152" s="114"/>
      <c r="AN152" s="114"/>
      <c r="AO152" s="114"/>
      <c r="AP152" s="114"/>
      <c r="AQ152" s="114"/>
      <c r="AR152" s="115"/>
      <c r="AW152" s="33">
        <v>0</v>
      </c>
      <c r="AY152">
        <v>0</v>
      </c>
    </row>
    <row r="153" spans="3:51" x14ac:dyDescent="0.25">
      <c r="C153" s="113"/>
      <c r="D153" s="114"/>
      <c r="E153" s="114"/>
      <c r="F153" s="114"/>
      <c r="G153" s="114"/>
      <c r="H153" s="114"/>
      <c r="I153" s="114"/>
      <c r="J153" s="114"/>
      <c r="K153" s="114"/>
      <c r="L153" s="114"/>
      <c r="M153" s="114"/>
      <c r="N153" s="114"/>
      <c r="O153" s="114"/>
      <c r="P153" s="114"/>
      <c r="Q153" s="114"/>
      <c r="R153" s="114"/>
      <c r="S153" s="114"/>
      <c r="T153" s="114"/>
      <c r="U153" s="114"/>
      <c r="V153" s="114"/>
      <c r="W153" s="114"/>
      <c r="X153" s="114"/>
      <c r="Y153" s="114"/>
      <c r="Z153" s="114"/>
      <c r="AA153" s="114"/>
      <c r="AB153" s="114"/>
      <c r="AC153" s="114"/>
      <c r="AD153" s="114"/>
      <c r="AE153" s="114"/>
      <c r="AF153" s="114"/>
      <c r="AG153" s="114"/>
      <c r="AH153" s="114"/>
      <c r="AI153" s="114"/>
      <c r="AJ153" s="114"/>
      <c r="AK153" s="114"/>
      <c r="AL153" s="114"/>
      <c r="AM153" s="114"/>
      <c r="AN153" s="114"/>
      <c r="AO153" s="114"/>
      <c r="AP153" s="114"/>
      <c r="AQ153" s="114"/>
      <c r="AR153" s="115"/>
      <c r="AW153" s="33">
        <v>0</v>
      </c>
      <c r="AY153">
        <v>0</v>
      </c>
    </row>
    <row r="154" spans="3:51" x14ac:dyDescent="0.25">
      <c r="C154" s="113"/>
      <c r="D154" s="114"/>
      <c r="E154" s="114"/>
      <c r="F154" s="114"/>
      <c r="G154" s="114"/>
      <c r="H154" s="114"/>
      <c r="I154" s="114"/>
      <c r="J154" s="114"/>
      <c r="K154" s="114"/>
      <c r="L154" s="114"/>
      <c r="M154" s="114"/>
      <c r="N154" s="114"/>
      <c r="O154" s="114"/>
      <c r="P154" s="114"/>
      <c r="Q154" s="114"/>
      <c r="R154" s="114"/>
      <c r="S154" s="114"/>
      <c r="T154" s="114"/>
      <c r="U154" s="114"/>
      <c r="V154" s="114"/>
      <c r="W154" s="114"/>
      <c r="X154" s="114"/>
      <c r="Y154" s="114"/>
      <c r="Z154" s="114"/>
      <c r="AA154" s="114"/>
      <c r="AB154" s="114"/>
      <c r="AC154" s="114"/>
      <c r="AD154" s="114"/>
      <c r="AE154" s="114"/>
      <c r="AF154" s="114"/>
      <c r="AG154" s="114"/>
      <c r="AH154" s="114"/>
      <c r="AI154" s="114"/>
      <c r="AJ154" s="114"/>
      <c r="AK154" s="114"/>
      <c r="AL154" s="114"/>
      <c r="AM154" s="114"/>
      <c r="AN154" s="114"/>
      <c r="AO154" s="114"/>
      <c r="AP154" s="114"/>
      <c r="AQ154" s="114"/>
      <c r="AR154" s="115"/>
      <c r="AW154" s="33">
        <v>0</v>
      </c>
      <c r="AY154">
        <v>0</v>
      </c>
    </row>
    <row r="155" spans="3:51" x14ac:dyDescent="0.25">
      <c r="C155" s="113"/>
      <c r="D155" s="114"/>
      <c r="E155" s="114"/>
      <c r="F155" s="114"/>
      <c r="G155" s="114"/>
      <c r="H155" s="114"/>
      <c r="I155" s="114"/>
      <c r="J155" s="114"/>
      <c r="K155" s="114"/>
      <c r="L155" s="114"/>
      <c r="M155" s="114"/>
      <c r="N155" s="114"/>
      <c r="O155" s="114"/>
      <c r="P155" s="114"/>
      <c r="Q155" s="114"/>
      <c r="R155" s="114"/>
      <c r="S155" s="114"/>
      <c r="T155" s="114"/>
      <c r="U155" s="114"/>
      <c r="V155" s="114"/>
      <c r="W155" s="114"/>
      <c r="X155" s="114"/>
      <c r="Y155" s="114"/>
      <c r="Z155" s="114"/>
      <c r="AA155" s="114"/>
      <c r="AB155" s="114"/>
      <c r="AC155" s="114"/>
      <c r="AD155" s="114"/>
      <c r="AE155" s="114"/>
      <c r="AF155" s="114"/>
      <c r="AG155" s="114"/>
      <c r="AH155" s="114"/>
      <c r="AI155" s="114"/>
      <c r="AJ155" s="114"/>
      <c r="AK155" s="114"/>
      <c r="AL155" s="114"/>
      <c r="AM155" s="114"/>
      <c r="AN155" s="114"/>
      <c r="AO155" s="114"/>
      <c r="AP155" s="114"/>
      <c r="AQ155" s="114"/>
      <c r="AR155" s="115"/>
      <c r="AW155" s="33">
        <v>0</v>
      </c>
      <c r="AY155">
        <v>0</v>
      </c>
    </row>
    <row r="156" spans="3:51" x14ac:dyDescent="0.25">
      <c r="C156" s="113"/>
      <c r="D156" s="114"/>
      <c r="E156" s="114"/>
      <c r="F156" s="114"/>
      <c r="G156" s="114"/>
      <c r="H156" s="114"/>
      <c r="I156" s="114"/>
      <c r="J156" s="114"/>
      <c r="K156" s="114"/>
      <c r="L156" s="114"/>
      <c r="M156" s="114"/>
      <c r="N156" s="114"/>
      <c r="O156" s="114"/>
      <c r="P156" s="114"/>
      <c r="Q156" s="114"/>
      <c r="R156" s="114"/>
      <c r="S156" s="114"/>
      <c r="T156" s="114"/>
      <c r="U156" s="114"/>
      <c r="V156" s="114"/>
      <c r="W156" s="114"/>
      <c r="X156" s="114"/>
      <c r="Y156" s="114"/>
      <c r="Z156" s="114"/>
      <c r="AA156" s="114"/>
      <c r="AB156" s="114"/>
      <c r="AC156" s="114"/>
      <c r="AD156" s="114"/>
      <c r="AE156" s="114"/>
      <c r="AF156" s="114"/>
      <c r="AG156" s="114"/>
      <c r="AH156" s="114"/>
      <c r="AI156" s="114"/>
      <c r="AJ156" s="114"/>
      <c r="AK156" s="114"/>
      <c r="AL156" s="114"/>
      <c r="AM156" s="114"/>
      <c r="AN156" s="114"/>
      <c r="AO156" s="114"/>
      <c r="AP156" s="114"/>
      <c r="AQ156" s="114"/>
      <c r="AR156" s="115"/>
      <c r="AW156" s="33">
        <v>0</v>
      </c>
      <c r="AY156">
        <v>0</v>
      </c>
    </row>
    <row r="157" spans="3:51" x14ac:dyDescent="0.25">
      <c r="C157" s="113"/>
      <c r="D157" s="114"/>
      <c r="E157" s="114"/>
      <c r="F157" s="114"/>
      <c r="G157" s="114"/>
      <c r="H157" s="114"/>
      <c r="I157" s="114"/>
      <c r="J157" s="114"/>
      <c r="K157" s="114"/>
      <c r="L157" s="114"/>
      <c r="M157" s="114"/>
      <c r="N157" s="114"/>
      <c r="O157" s="114"/>
      <c r="P157" s="114"/>
      <c r="Q157" s="114"/>
      <c r="R157" s="114"/>
      <c r="S157" s="114"/>
      <c r="T157" s="114"/>
      <c r="U157" s="114"/>
      <c r="V157" s="114"/>
      <c r="W157" s="114"/>
      <c r="X157" s="114"/>
      <c r="Y157" s="114"/>
      <c r="Z157" s="114"/>
      <c r="AA157" s="114"/>
      <c r="AB157" s="114"/>
      <c r="AC157" s="114"/>
      <c r="AD157" s="114"/>
      <c r="AE157" s="114"/>
      <c r="AF157" s="114"/>
      <c r="AG157" s="114"/>
      <c r="AH157" s="114"/>
      <c r="AI157" s="114"/>
      <c r="AJ157" s="114"/>
      <c r="AK157" s="114"/>
      <c r="AL157" s="114"/>
      <c r="AM157" s="114"/>
      <c r="AN157" s="114"/>
      <c r="AO157" s="114"/>
      <c r="AP157" s="114"/>
      <c r="AQ157" s="114"/>
      <c r="AR157" s="115"/>
      <c r="AW157" s="33">
        <v>0</v>
      </c>
      <c r="AY157">
        <v>0</v>
      </c>
    </row>
    <row r="158" spans="3:51" x14ac:dyDescent="0.25">
      <c r="C158" s="113"/>
      <c r="D158" s="114"/>
      <c r="E158" s="114"/>
      <c r="F158" s="114"/>
      <c r="G158" s="114"/>
      <c r="H158" s="114"/>
      <c r="I158" s="114"/>
      <c r="J158" s="114"/>
      <c r="K158" s="114"/>
      <c r="L158" s="114"/>
      <c r="M158" s="114"/>
      <c r="N158" s="114"/>
      <c r="O158" s="114"/>
      <c r="P158" s="114"/>
      <c r="Q158" s="114"/>
      <c r="R158" s="114"/>
      <c r="S158" s="114"/>
      <c r="T158" s="114"/>
      <c r="U158" s="114"/>
      <c r="V158" s="114"/>
      <c r="W158" s="114"/>
      <c r="X158" s="114"/>
      <c r="Y158" s="114"/>
      <c r="Z158" s="114"/>
      <c r="AA158" s="114"/>
      <c r="AB158" s="114"/>
      <c r="AC158" s="114"/>
      <c r="AD158" s="114"/>
      <c r="AE158" s="114"/>
      <c r="AF158" s="114"/>
      <c r="AG158" s="114"/>
      <c r="AH158" s="114"/>
      <c r="AI158" s="114"/>
      <c r="AJ158" s="114"/>
      <c r="AK158" s="114"/>
      <c r="AL158" s="114"/>
      <c r="AM158" s="114"/>
      <c r="AN158" s="114"/>
      <c r="AO158" s="114"/>
      <c r="AP158" s="114"/>
      <c r="AQ158" s="114"/>
      <c r="AR158" s="115"/>
      <c r="AW158" s="33">
        <v>0</v>
      </c>
      <c r="AY158">
        <v>0</v>
      </c>
    </row>
    <row r="159" spans="3:51" x14ac:dyDescent="0.25">
      <c r="C159" s="113"/>
      <c r="D159" s="114"/>
      <c r="E159" s="114"/>
      <c r="F159" s="114"/>
      <c r="G159" s="114"/>
      <c r="H159" s="114"/>
      <c r="I159" s="114"/>
      <c r="J159" s="114"/>
      <c r="K159" s="114"/>
      <c r="L159" s="114"/>
      <c r="M159" s="114"/>
      <c r="N159" s="114"/>
      <c r="O159" s="114"/>
      <c r="P159" s="114"/>
      <c r="Q159" s="114"/>
      <c r="R159" s="114"/>
      <c r="S159" s="114"/>
      <c r="T159" s="114"/>
      <c r="U159" s="114"/>
      <c r="V159" s="114"/>
      <c r="W159" s="114"/>
      <c r="X159" s="114"/>
      <c r="Y159" s="114"/>
      <c r="Z159" s="114"/>
      <c r="AA159" s="114"/>
      <c r="AB159" s="114"/>
      <c r="AC159" s="114"/>
      <c r="AD159" s="114"/>
      <c r="AE159" s="114"/>
      <c r="AF159" s="114"/>
      <c r="AG159" s="114"/>
      <c r="AH159" s="114"/>
      <c r="AI159" s="114"/>
      <c r="AJ159" s="114"/>
      <c r="AK159" s="114"/>
      <c r="AL159" s="114"/>
      <c r="AM159" s="114"/>
      <c r="AN159" s="114"/>
      <c r="AO159" s="114"/>
      <c r="AP159" s="114"/>
      <c r="AQ159" s="114"/>
      <c r="AR159" s="115"/>
      <c r="AW159" s="33">
        <v>0</v>
      </c>
      <c r="AY159">
        <v>0</v>
      </c>
    </row>
    <row r="160" spans="3:51" x14ac:dyDescent="0.25">
      <c r="C160" s="113"/>
      <c r="D160" s="114"/>
      <c r="E160" s="114"/>
      <c r="F160" s="114"/>
      <c r="G160" s="114"/>
      <c r="H160" s="114"/>
      <c r="I160" s="114"/>
      <c r="J160" s="114"/>
      <c r="K160" s="114"/>
      <c r="L160" s="114"/>
      <c r="M160" s="114"/>
      <c r="N160" s="114"/>
      <c r="O160" s="114"/>
      <c r="P160" s="114"/>
      <c r="Q160" s="114"/>
      <c r="R160" s="114"/>
      <c r="S160" s="114"/>
      <c r="T160" s="114"/>
      <c r="U160" s="114"/>
      <c r="V160" s="114"/>
      <c r="W160" s="114"/>
      <c r="X160" s="114"/>
      <c r="Y160" s="114"/>
      <c r="Z160" s="114"/>
      <c r="AA160" s="114"/>
      <c r="AB160" s="114"/>
      <c r="AC160" s="114"/>
      <c r="AD160" s="114"/>
      <c r="AE160" s="114"/>
      <c r="AF160" s="114"/>
      <c r="AG160" s="114"/>
      <c r="AH160" s="114"/>
      <c r="AI160" s="114"/>
      <c r="AJ160" s="114"/>
      <c r="AK160" s="114"/>
      <c r="AL160" s="114"/>
      <c r="AM160" s="114"/>
      <c r="AN160" s="114"/>
      <c r="AO160" s="114"/>
      <c r="AP160" s="114"/>
      <c r="AQ160" s="114"/>
      <c r="AR160" s="115"/>
      <c r="AW160" s="33">
        <v>0</v>
      </c>
      <c r="AY160">
        <v>0</v>
      </c>
    </row>
    <row r="161" spans="3:51" x14ac:dyDescent="0.25">
      <c r="C161" s="113"/>
      <c r="D161" s="114"/>
      <c r="E161" s="114"/>
      <c r="F161" s="114"/>
      <c r="G161" s="114"/>
      <c r="H161" s="114"/>
      <c r="I161" s="114"/>
      <c r="J161" s="114"/>
      <c r="K161" s="114"/>
      <c r="L161" s="114"/>
      <c r="M161" s="114"/>
      <c r="N161" s="114"/>
      <c r="O161" s="114"/>
      <c r="P161" s="114"/>
      <c r="Q161" s="114"/>
      <c r="R161" s="114"/>
      <c r="S161" s="114"/>
      <c r="T161" s="114"/>
      <c r="U161" s="114"/>
      <c r="V161" s="114"/>
      <c r="W161" s="114"/>
      <c r="X161" s="114"/>
      <c r="Y161" s="114"/>
      <c r="Z161" s="114"/>
      <c r="AA161" s="114"/>
      <c r="AB161" s="114"/>
      <c r="AC161" s="114"/>
      <c r="AD161" s="114"/>
      <c r="AE161" s="114"/>
      <c r="AF161" s="114"/>
      <c r="AG161" s="114"/>
      <c r="AH161" s="114"/>
      <c r="AI161" s="114"/>
      <c r="AJ161" s="114"/>
      <c r="AK161" s="114"/>
      <c r="AL161" s="114"/>
      <c r="AM161" s="114"/>
      <c r="AN161" s="114"/>
      <c r="AO161" s="114"/>
      <c r="AP161" s="114"/>
      <c r="AQ161" s="114"/>
      <c r="AR161" s="115"/>
      <c r="AW161" s="33">
        <v>0</v>
      </c>
      <c r="AY161">
        <v>0</v>
      </c>
    </row>
    <row r="162" spans="3:51" x14ac:dyDescent="0.25">
      <c r="C162" s="113"/>
      <c r="D162" s="114"/>
      <c r="E162" s="114"/>
      <c r="F162" s="114"/>
      <c r="G162" s="114"/>
      <c r="H162" s="114"/>
      <c r="I162" s="114"/>
      <c r="J162" s="114"/>
      <c r="K162" s="114"/>
      <c r="L162" s="114"/>
      <c r="M162" s="114"/>
      <c r="N162" s="114"/>
      <c r="O162" s="114"/>
      <c r="P162" s="114"/>
      <c r="Q162" s="114"/>
      <c r="R162" s="114"/>
      <c r="S162" s="114"/>
      <c r="T162" s="114"/>
      <c r="U162" s="114"/>
      <c r="V162" s="114"/>
      <c r="W162" s="114"/>
      <c r="X162" s="114"/>
      <c r="Y162" s="114"/>
      <c r="Z162" s="114"/>
      <c r="AA162" s="114"/>
      <c r="AB162" s="114"/>
      <c r="AC162" s="114"/>
      <c r="AD162" s="114"/>
      <c r="AE162" s="114"/>
      <c r="AF162" s="114"/>
      <c r="AG162" s="114"/>
      <c r="AH162" s="114"/>
      <c r="AI162" s="114"/>
      <c r="AJ162" s="114"/>
      <c r="AK162" s="114"/>
      <c r="AL162" s="114"/>
      <c r="AM162" s="114"/>
      <c r="AN162" s="114"/>
      <c r="AO162" s="114"/>
      <c r="AP162" s="114"/>
      <c r="AQ162" s="114"/>
      <c r="AR162" s="115"/>
      <c r="AW162" s="33">
        <v>0</v>
      </c>
      <c r="AY162">
        <v>0</v>
      </c>
    </row>
    <row r="163" spans="3:51" x14ac:dyDescent="0.25">
      <c r="C163" s="113"/>
      <c r="D163" s="114"/>
      <c r="E163" s="114"/>
      <c r="F163" s="114"/>
      <c r="G163" s="114"/>
      <c r="H163" s="114"/>
      <c r="I163" s="114"/>
      <c r="J163" s="114"/>
      <c r="K163" s="114"/>
      <c r="L163" s="114"/>
      <c r="M163" s="114"/>
      <c r="N163" s="114"/>
      <c r="O163" s="114"/>
      <c r="P163" s="114"/>
      <c r="Q163" s="114"/>
      <c r="R163" s="114"/>
      <c r="S163" s="114"/>
      <c r="T163" s="114"/>
      <c r="U163" s="114"/>
      <c r="V163" s="114"/>
      <c r="W163" s="114"/>
      <c r="X163" s="114"/>
      <c r="Y163" s="114"/>
      <c r="Z163" s="114"/>
      <c r="AA163" s="114"/>
      <c r="AB163" s="114"/>
      <c r="AC163" s="114"/>
      <c r="AD163" s="114"/>
      <c r="AE163" s="114"/>
      <c r="AF163" s="114"/>
      <c r="AG163" s="114"/>
      <c r="AH163" s="114"/>
      <c r="AI163" s="114"/>
      <c r="AJ163" s="114"/>
      <c r="AK163" s="114"/>
      <c r="AL163" s="114"/>
      <c r="AM163" s="114"/>
      <c r="AN163" s="114"/>
      <c r="AO163" s="114"/>
      <c r="AP163" s="114"/>
      <c r="AQ163" s="114"/>
      <c r="AR163" s="115"/>
      <c r="AW163" s="33">
        <v>0</v>
      </c>
      <c r="AY163">
        <v>0</v>
      </c>
    </row>
    <row r="164" spans="3:51" x14ac:dyDescent="0.25">
      <c r="C164" s="113"/>
      <c r="D164" s="114"/>
      <c r="E164" s="114"/>
      <c r="F164" s="114"/>
      <c r="G164" s="114"/>
      <c r="H164" s="114"/>
      <c r="I164" s="114"/>
      <c r="J164" s="114"/>
      <c r="K164" s="114"/>
      <c r="L164" s="114"/>
      <c r="M164" s="114"/>
      <c r="N164" s="114"/>
      <c r="O164" s="114"/>
      <c r="P164" s="114"/>
      <c r="Q164" s="114"/>
      <c r="R164" s="114"/>
      <c r="S164" s="114"/>
      <c r="T164" s="114"/>
      <c r="U164" s="114"/>
      <c r="V164" s="114"/>
      <c r="W164" s="114"/>
      <c r="X164" s="114"/>
      <c r="Y164" s="114"/>
      <c r="Z164" s="114"/>
      <c r="AA164" s="114"/>
      <c r="AB164" s="114"/>
      <c r="AC164" s="114"/>
      <c r="AD164" s="114"/>
      <c r="AE164" s="114"/>
      <c r="AF164" s="114"/>
      <c r="AG164" s="114"/>
      <c r="AH164" s="114"/>
      <c r="AI164" s="114"/>
      <c r="AJ164" s="114"/>
      <c r="AK164" s="114"/>
      <c r="AL164" s="114"/>
      <c r="AM164" s="114"/>
      <c r="AN164" s="114"/>
      <c r="AO164" s="114"/>
      <c r="AP164" s="114"/>
      <c r="AQ164" s="114"/>
      <c r="AR164" s="115"/>
      <c r="AW164" s="33">
        <v>0</v>
      </c>
      <c r="AY164">
        <v>0</v>
      </c>
    </row>
    <row r="165" spans="3:51" x14ac:dyDescent="0.25">
      <c r="C165" s="113"/>
      <c r="D165" s="114"/>
      <c r="E165" s="114"/>
      <c r="F165" s="114"/>
      <c r="G165" s="114"/>
      <c r="H165" s="114"/>
      <c r="I165" s="114"/>
      <c r="J165" s="114"/>
      <c r="K165" s="114"/>
      <c r="L165" s="114"/>
      <c r="M165" s="114"/>
      <c r="N165" s="114"/>
      <c r="O165" s="114"/>
      <c r="P165" s="114"/>
      <c r="Q165" s="114"/>
      <c r="R165" s="114"/>
      <c r="S165" s="114"/>
      <c r="T165" s="114"/>
      <c r="U165" s="114"/>
      <c r="V165" s="114"/>
      <c r="W165" s="114"/>
      <c r="X165" s="114"/>
      <c r="Y165" s="114"/>
      <c r="Z165" s="114"/>
      <c r="AA165" s="114"/>
      <c r="AB165" s="114"/>
      <c r="AC165" s="114"/>
      <c r="AD165" s="114"/>
      <c r="AE165" s="114"/>
      <c r="AF165" s="114"/>
      <c r="AG165" s="114"/>
      <c r="AH165" s="114"/>
      <c r="AI165" s="114"/>
      <c r="AJ165" s="114"/>
      <c r="AK165" s="114"/>
      <c r="AL165" s="114"/>
      <c r="AM165" s="114"/>
      <c r="AN165" s="114"/>
      <c r="AO165" s="114"/>
      <c r="AP165" s="114"/>
      <c r="AQ165" s="114"/>
      <c r="AR165" s="115"/>
      <c r="AW165" s="33">
        <v>0</v>
      </c>
      <c r="AY165">
        <v>0</v>
      </c>
    </row>
    <row r="166" spans="3:51" x14ac:dyDescent="0.25">
      <c r="C166" s="113"/>
      <c r="D166" s="114"/>
      <c r="E166" s="114"/>
      <c r="F166" s="114"/>
      <c r="G166" s="114"/>
      <c r="H166" s="114"/>
      <c r="I166" s="114"/>
      <c r="J166" s="114"/>
      <c r="K166" s="114"/>
      <c r="L166" s="114"/>
      <c r="M166" s="114"/>
      <c r="N166" s="114"/>
      <c r="O166" s="114"/>
      <c r="P166" s="114"/>
      <c r="Q166" s="114"/>
      <c r="R166" s="114"/>
      <c r="S166" s="114"/>
      <c r="T166" s="114"/>
      <c r="U166" s="114"/>
      <c r="V166" s="114"/>
      <c r="W166" s="114"/>
      <c r="X166" s="114"/>
      <c r="Y166" s="114"/>
      <c r="Z166" s="114"/>
      <c r="AA166" s="114"/>
      <c r="AB166" s="114"/>
      <c r="AC166" s="114"/>
      <c r="AD166" s="114"/>
      <c r="AE166" s="114"/>
      <c r="AF166" s="114"/>
      <c r="AG166" s="114"/>
      <c r="AH166" s="114"/>
      <c r="AI166" s="114"/>
      <c r="AJ166" s="114"/>
      <c r="AK166" s="114"/>
      <c r="AL166" s="114"/>
      <c r="AM166" s="114"/>
      <c r="AN166" s="114"/>
      <c r="AO166" s="114"/>
      <c r="AP166" s="114"/>
      <c r="AQ166" s="114"/>
      <c r="AR166" s="115"/>
      <c r="AW166" s="33">
        <v>0</v>
      </c>
      <c r="AY166">
        <v>0</v>
      </c>
    </row>
    <row r="167" spans="3:51" x14ac:dyDescent="0.25">
      <c r="C167" s="113"/>
      <c r="D167" s="114"/>
      <c r="E167" s="114"/>
      <c r="F167" s="114"/>
      <c r="G167" s="114"/>
      <c r="H167" s="114"/>
      <c r="I167" s="114"/>
      <c r="J167" s="114"/>
      <c r="K167" s="114"/>
      <c r="L167" s="114"/>
      <c r="M167" s="114"/>
      <c r="N167" s="114"/>
      <c r="O167" s="114"/>
      <c r="P167" s="114"/>
      <c r="Q167" s="114"/>
      <c r="R167" s="114"/>
      <c r="S167" s="114"/>
      <c r="T167" s="114"/>
      <c r="U167" s="114"/>
      <c r="V167" s="114"/>
      <c r="W167" s="114"/>
      <c r="X167" s="114"/>
      <c r="Y167" s="114"/>
      <c r="Z167" s="114"/>
      <c r="AA167" s="114"/>
      <c r="AB167" s="114"/>
      <c r="AC167" s="114"/>
      <c r="AD167" s="114"/>
      <c r="AE167" s="114"/>
      <c r="AF167" s="114"/>
      <c r="AG167" s="114"/>
      <c r="AH167" s="114"/>
      <c r="AI167" s="114"/>
      <c r="AJ167" s="114"/>
      <c r="AK167" s="114"/>
      <c r="AL167" s="114"/>
      <c r="AM167" s="114"/>
      <c r="AN167" s="114"/>
      <c r="AO167" s="114"/>
      <c r="AP167" s="114"/>
      <c r="AQ167" s="114"/>
      <c r="AR167" s="115"/>
      <c r="AW167" s="33">
        <v>0</v>
      </c>
      <c r="AY167">
        <v>0</v>
      </c>
    </row>
    <row r="168" spans="3:51" x14ac:dyDescent="0.25">
      <c r="C168" s="113"/>
      <c r="D168" s="114"/>
      <c r="E168" s="114"/>
      <c r="F168" s="114"/>
      <c r="G168" s="114"/>
      <c r="H168" s="114"/>
      <c r="I168" s="114"/>
      <c r="J168" s="114"/>
      <c r="K168" s="114"/>
      <c r="L168" s="114"/>
      <c r="M168" s="114"/>
      <c r="N168" s="114"/>
      <c r="O168" s="114"/>
      <c r="P168" s="114"/>
      <c r="Q168" s="114"/>
      <c r="R168" s="114"/>
      <c r="S168" s="114"/>
      <c r="T168" s="114"/>
      <c r="U168" s="114"/>
      <c r="V168" s="114"/>
      <c r="W168" s="114"/>
      <c r="X168" s="114"/>
      <c r="Y168" s="114"/>
      <c r="Z168" s="114"/>
      <c r="AA168" s="114"/>
      <c r="AB168" s="114"/>
      <c r="AC168" s="114"/>
      <c r="AD168" s="114"/>
      <c r="AE168" s="114"/>
      <c r="AF168" s="114"/>
      <c r="AG168" s="114"/>
      <c r="AH168" s="114"/>
      <c r="AI168" s="114"/>
      <c r="AJ168" s="114"/>
      <c r="AK168" s="114"/>
      <c r="AL168" s="114"/>
      <c r="AM168" s="114"/>
      <c r="AN168" s="114"/>
      <c r="AO168" s="114"/>
      <c r="AP168" s="114"/>
      <c r="AQ168" s="114"/>
      <c r="AR168" s="115"/>
      <c r="AW168" s="33">
        <v>0</v>
      </c>
      <c r="AY168">
        <v>0</v>
      </c>
    </row>
    <row r="169" spans="3:51" x14ac:dyDescent="0.25">
      <c r="C169" s="113"/>
      <c r="D169" s="114"/>
      <c r="E169" s="114"/>
      <c r="F169" s="114"/>
      <c r="G169" s="114"/>
      <c r="H169" s="114"/>
      <c r="I169" s="114"/>
      <c r="J169" s="114"/>
      <c r="K169" s="114"/>
      <c r="L169" s="114"/>
      <c r="M169" s="114"/>
      <c r="N169" s="114"/>
      <c r="O169" s="114"/>
      <c r="P169" s="114"/>
      <c r="Q169" s="114"/>
      <c r="R169" s="114"/>
      <c r="S169" s="114"/>
      <c r="T169" s="114"/>
      <c r="U169" s="114"/>
      <c r="V169" s="114"/>
      <c r="W169" s="114"/>
      <c r="X169" s="114"/>
      <c r="Y169" s="114"/>
      <c r="Z169" s="114"/>
      <c r="AA169" s="114"/>
      <c r="AB169" s="114"/>
      <c r="AC169" s="114"/>
      <c r="AD169" s="114"/>
      <c r="AE169" s="114"/>
      <c r="AF169" s="114"/>
      <c r="AG169" s="114"/>
      <c r="AH169" s="114"/>
      <c r="AI169" s="114"/>
      <c r="AJ169" s="114"/>
      <c r="AK169" s="114"/>
      <c r="AL169" s="114"/>
      <c r="AM169" s="114"/>
      <c r="AN169" s="114"/>
      <c r="AO169" s="114"/>
      <c r="AP169" s="114"/>
      <c r="AQ169" s="114"/>
      <c r="AR169" s="115"/>
      <c r="AW169" s="33">
        <v>0</v>
      </c>
      <c r="AY169">
        <v>0</v>
      </c>
    </row>
    <row r="170" spans="3:51" x14ac:dyDescent="0.25">
      <c r="C170" s="113"/>
      <c r="D170" s="114"/>
      <c r="E170" s="114"/>
      <c r="F170" s="114"/>
      <c r="G170" s="114"/>
      <c r="H170" s="114"/>
      <c r="I170" s="114"/>
      <c r="J170" s="114"/>
      <c r="K170" s="114"/>
      <c r="L170" s="114"/>
      <c r="M170" s="114"/>
      <c r="N170" s="114"/>
      <c r="O170" s="114"/>
      <c r="P170" s="114"/>
      <c r="Q170" s="114"/>
      <c r="R170" s="114"/>
      <c r="S170" s="114"/>
      <c r="T170" s="114"/>
      <c r="U170" s="114"/>
      <c r="V170" s="114"/>
      <c r="W170" s="114"/>
      <c r="X170" s="114"/>
      <c r="Y170" s="114"/>
      <c r="Z170" s="114"/>
      <c r="AA170" s="114"/>
      <c r="AB170" s="114"/>
      <c r="AC170" s="114"/>
      <c r="AD170" s="114"/>
      <c r="AE170" s="114"/>
      <c r="AF170" s="114"/>
      <c r="AG170" s="114"/>
      <c r="AH170" s="114"/>
      <c r="AI170" s="114"/>
      <c r="AJ170" s="114"/>
      <c r="AK170" s="114"/>
      <c r="AL170" s="114"/>
      <c r="AM170" s="114"/>
      <c r="AN170" s="114"/>
      <c r="AO170" s="114"/>
      <c r="AP170" s="114"/>
      <c r="AQ170" s="114"/>
      <c r="AR170" s="115"/>
      <c r="AW170" s="33">
        <v>0</v>
      </c>
      <c r="AY170">
        <v>0</v>
      </c>
    </row>
    <row r="171" spans="3:51" x14ac:dyDescent="0.25">
      <c r="C171" s="113"/>
      <c r="D171" s="114"/>
      <c r="E171" s="114"/>
      <c r="F171" s="114"/>
      <c r="G171" s="114"/>
      <c r="H171" s="114"/>
      <c r="I171" s="114"/>
      <c r="J171" s="114"/>
      <c r="K171" s="114"/>
      <c r="L171" s="114"/>
      <c r="M171" s="114"/>
      <c r="N171" s="114"/>
      <c r="O171" s="114"/>
      <c r="P171" s="114"/>
      <c r="Q171" s="114"/>
      <c r="R171" s="114"/>
      <c r="S171" s="114"/>
      <c r="T171" s="114"/>
      <c r="U171" s="114"/>
      <c r="V171" s="114"/>
      <c r="W171" s="114"/>
      <c r="X171" s="114"/>
      <c r="Y171" s="114"/>
      <c r="Z171" s="114"/>
      <c r="AA171" s="114"/>
      <c r="AB171" s="114"/>
      <c r="AC171" s="114"/>
      <c r="AD171" s="114"/>
      <c r="AE171" s="114"/>
      <c r="AF171" s="114"/>
      <c r="AG171" s="114"/>
      <c r="AH171" s="114"/>
      <c r="AI171" s="114"/>
      <c r="AJ171" s="114"/>
      <c r="AK171" s="114"/>
      <c r="AL171" s="114"/>
      <c r="AM171" s="114"/>
      <c r="AN171" s="114"/>
      <c r="AO171" s="114"/>
      <c r="AP171" s="114"/>
      <c r="AQ171" s="114"/>
      <c r="AR171" s="115"/>
      <c r="AW171" s="33">
        <v>0</v>
      </c>
      <c r="AY171">
        <v>0</v>
      </c>
    </row>
    <row r="172" spans="3:51" x14ac:dyDescent="0.25">
      <c r="C172" s="113"/>
      <c r="D172" s="114"/>
      <c r="E172" s="114"/>
      <c r="F172" s="114"/>
      <c r="G172" s="114"/>
      <c r="H172" s="114"/>
      <c r="I172" s="114"/>
      <c r="J172" s="114"/>
      <c r="K172" s="114"/>
      <c r="L172" s="114"/>
      <c r="M172" s="114"/>
      <c r="N172" s="114"/>
      <c r="O172" s="114"/>
      <c r="P172" s="114"/>
      <c r="Q172" s="114"/>
      <c r="R172" s="114"/>
      <c r="S172" s="114"/>
      <c r="T172" s="114"/>
      <c r="U172" s="114"/>
      <c r="V172" s="114"/>
      <c r="W172" s="114"/>
      <c r="X172" s="114"/>
      <c r="Y172" s="114"/>
      <c r="Z172" s="114"/>
      <c r="AA172" s="114"/>
      <c r="AB172" s="114"/>
      <c r="AC172" s="114"/>
      <c r="AD172" s="114"/>
      <c r="AE172" s="114"/>
      <c r="AF172" s="114"/>
      <c r="AG172" s="114"/>
      <c r="AH172" s="114"/>
      <c r="AI172" s="114"/>
      <c r="AJ172" s="114"/>
      <c r="AK172" s="114"/>
      <c r="AL172" s="114"/>
      <c r="AM172" s="114"/>
      <c r="AN172" s="114"/>
      <c r="AO172" s="114"/>
      <c r="AP172" s="114"/>
      <c r="AQ172" s="114"/>
      <c r="AR172" s="115"/>
      <c r="AW172" s="33">
        <v>0</v>
      </c>
      <c r="AY172">
        <v>0</v>
      </c>
    </row>
    <row r="173" spans="3:51" x14ac:dyDescent="0.25">
      <c r="C173" s="113"/>
      <c r="D173" s="114"/>
      <c r="E173" s="114"/>
      <c r="F173" s="114"/>
      <c r="G173" s="114"/>
      <c r="H173" s="114"/>
      <c r="I173" s="114"/>
      <c r="J173" s="114"/>
      <c r="K173" s="114"/>
      <c r="L173" s="114"/>
      <c r="M173" s="114"/>
      <c r="N173" s="114"/>
      <c r="O173" s="114"/>
      <c r="P173" s="114"/>
      <c r="Q173" s="114"/>
      <c r="R173" s="114"/>
      <c r="S173" s="114"/>
      <c r="T173" s="114"/>
      <c r="U173" s="114"/>
      <c r="V173" s="114"/>
      <c r="W173" s="114"/>
      <c r="X173" s="114"/>
      <c r="Y173" s="114"/>
      <c r="Z173" s="114"/>
      <c r="AA173" s="114"/>
      <c r="AB173" s="114"/>
      <c r="AC173" s="114"/>
      <c r="AD173" s="114"/>
      <c r="AE173" s="114"/>
      <c r="AF173" s="114"/>
      <c r="AG173" s="114"/>
      <c r="AH173" s="114"/>
      <c r="AI173" s="114"/>
      <c r="AJ173" s="114"/>
      <c r="AK173" s="114"/>
      <c r="AL173" s="114"/>
      <c r="AM173" s="114"/>
      <c r="AN173" s="114"/>
      <c r="AO173" s="114"/>
      <c r="AP173" s="114"/>
      <c r="AQ173" s="114"/>
      <c r="AR173" s="115"/>
      <c r="AW173" s="33">
        <v>0</v>
      </c>
      <c r="AY173">
        <v>0</v>
      </c>
    </row>
    <row r="174" spans="3:51" x14ac:dyDescent="0.25">
      <c r="C174" s="113"/>
      <c r="D174" s="114"/>
      <c r="E174" s="114"/>
      <c r="F174" s="114"/>
      <c r="G174" s="114"/>
      <c r="H174" s="114"/>
      <c r="I174" s="114"/>
      <c r="J174" s="114"/>
      <c r="K174" s="114"/>
      <c r="L174" s="114"/>
      <c r="M174" s="114"/>
      <c r="N174" s="114"/>
      <c r="O174" s="114"/>
      <c r="P174" s="114"/>
      <c r="Q174" s="114"/>
      <c r="R174" s="114"/>
      <c r="S174" s="114"/>
      <c r="T174" s="114"/>
      <c r="U174" s="114"/>
      <c r="V174" s="114"/>
      <c r="W174" s="114"/>
      <c r="X174" s="114"/>
      <c r="Y174" s="114"/>
      <c r="Z174" s="114"/>
      <c r="AA174" s="114"/>
      <c r="AB174" s="114"/>
      <c r="AC174" s="114"/>
      <c r="AD174" s="114"/>
      <c r="AE174" s="114"/>
      <c r="AF174" s="114"/>
      <c r="AG174" s="114"/>
      <c r="AH174" s="114"/>
      <c r="AI174" s="114"/>
      <c r="AJ174" s="114"/>
      <c r="AK174" s="114"/>
      <c r="AL174" s="114"/>
      <c r="AM174" s="114"/>
      <c r="AN174" s="114"/>
      <c r="AO174" s="114"/>
      <c r="AP174" s="114"/>
      <c r="AQ174" s="114"/>
      <c r="AR174" s="115"/>
      <c r="AW174" s="33">
        <v>0</v>
      </c>
      <c r="AY174">
        <v>0</v>
      </c>
    </row>
    <row r="175" spans="3:51" x14ac:dyDescent="0.25">
      <c r="C175" s="113"/>
      <c r="D175" s="114"/>
      <c r="E175" s="114"/>
      <c r="F175" s="114"/>
      <c r="G175" s="114"/>
      <c r="H175" s="114"/>
      <c r="I175" s="114"/>
      <c r="J175" s="114"/>
      <c r="K175" s="114"/>
      <c r="L175" s="114"/>
      <c r="M175" s="114"/>
      <c r="N175" s="114"/>
      <c r="O175" s="114"/>
      <c r="P175" s="114"/>
      <c r="Q175" s="114"/>
      <c r="R175" s="114"/>
      <c r="S175" s="114"/>
      <c r="T175" s="114"/>
      <c r="U175" s="114"/>
      <c r="V175" s="114"/>
      <c r="W175" s="114"/>
      <c r="X175" s="114"/>
      <c r="Y175" s="114"/>
      <c r="Z175" s="114"/>
      <c r="AA175" s="114"/>
      <c r="AB175" s="114"/>
      <c r="AC175" s="114"/>
      <c r="AD175" s="114"/>
      <c r="AE175" s="114"/>
      <c r="AF175" s="114"/>
      <c r="AG175" s="114"/>
      <c r="AH175" s="114"/>
      <c r="AI175" s="114"/>
      <c r="AJ175" s="114"/>
      <c r="AK175" s="114"/>
      <c r="AL175" s="114"/>
      <c r="AM175" s="114"/>
      <c r="AN175" s="114"/>
      <c r="AO175" s="114"/>
      <c r="AP175" s="114"/>
      <c r="AQ175" s="114"/>
      <c r="AR175" s="115"/>
      <c r="AW175" s="33">
        <v>0</v>
      </c>
      <c r="AY175">
        <v>0</v>
      </c>
    </row>
    <row r="176" spans="3:51" x14ac:dyDescent="0.25">
      <c r="C176" s="113"/>
      <c r="D176" s="114"/>
      <c r="E176" s="114"/>
      <c r="F176" s="114"/>
      <c r="G176" s="114"/>
      <c r="H176" s="114"/>
      <c r="I176" s="114"/>
      <c r="J176" s="114"/>
      <c r="K176" s="114"/>
      <c r="L176" s="114"/>
      <c r="M176" s="114"/>
      <c r="N176" s="114"/>
      <c r="O176" s="114"/>
      <c r="P176" s="114"/>
      <c r="Q176" s="114"/>
      <c r="R176" s="114"/>
      <c r="S176" s="114"/>
      <c r="T176" s="114"/>
      <c r="U176" s="114"/>
      <c r="V176" s="114"/>
      <c r="W176" s="114"/>
      <c r="X176" s="114"/>
      <c r="Y176" s="114"/>
      <c r="Z176" s="114"/>
      <c r="AA176" s="114"/>
      <c r="AB176" s="114"/>
      <c r="AC176" s="114"/>
      <c r="AD176" s="114"/>
      <c r="AE176" s="114"/>
      <c r="AF176" s="114"/>
      <c r="AG176" s="114"/>
      <c r="AH176" s="114"/>
      <c r="AI176" s="114"/>
      <c r="AJ176" s="114"/>
      <c r="AK176" s="114"/>
      <c r="AL176" s="114"/>
      <c r="AM176" s="114"/>
      <c r="AN176" s="114"/>
      <c r="AO176" s="114"/>
      <c r="AP176" s="114"/>
      <c r="AQ176" s="114"/>
      <c r="AR176" s="115"/>
      <c r="AW176" s="33">
        <v>0</v>
      </c>
      <c r="AY176">
        <v>0</v>
      </c>
    </row>
    <row r="177" spans="3:51" x14ac:dyDescent="0.25">
      <c r="C177" s="113"/>
      <c r="D177" s="114"/>
      <c r="E177" s="114"/>
      <c r="F177" s="114"/>
      <c r="G177" s="114"/>
      <c r="H177" s="114"/>
      <c r="I177" s="114"/>
      <c r="J177" s="114"/>
      <c r="K177" s="114"/>
      <c r="L177" s="114"/>
      <c r="M177" s="114"/>
      <c r="N177" s="114"/>
      <c r="O177" s="114"/>
      <c r="P177" s="114"/>
      <c r="Q177" s="114"/>
      <c r="R177" s="114"/>
      <c r="S177" s="114"/>
      <c r="T177" s="114"/>
      <c r="U177" s="114"/>
      <c r="V177" s="114"/>
      <c r="W177" s="114"/>
      <c r="X177" s="114"/>
      <c r="Y177" s="114"/>
      <c r="Z177" s="114"/>
      <c r="AA177" s="114"/>
      <c r="AB177" s="114"/>
      <c r="AC177" s="114"/>
      <c r="AD177" s="114"/>
      <c r="AE177" s="114"/>
      <c r="AF177" s="114"/>
      <c r="AG177" s="114"/>
      <c r="AH177" s="114"/>
      <c r="AI177" s="114"/>
      <c r="AJ177" s="114"/>
      <c r="AK177" s="114"/>
      <c r="AL177" s="114"/>
      <c r="AM177" s="114"/>
      <c r="AN177" s="114"/>
      <c r="AO177" s="114"/>
      <c r="AP177" s="114"/>
      <c r="AQ177" s="114"/>
      <c r="AR177" s="115"/>
      <c r="AW177" s="33">
        <v>0</v>
      </c>
      <c r="AY177">
        <v>0</v>
      </c>
    </row>
    <row r="178" spans="3:51" x14ac:dyDescent="0.25">
      <c r="C178" s="113"/>
      <c r="D178" s="114"/>
      <c r="E178" s="114"/>
      <c r="F178" s="114"/>
      <c r="G178" s="114"/>
      <c r="H178" s="114"/>
      <c r="I178" s="114"/>
      <c r="J178" s="114"/>
      <c r="K178" s="114"/>
      <c r="L178" s="114"/>
      <c r="M178" s="114"/>
      <c r="N178" s="114"/>
      <c r="O178" s="114"/>
      <c r="P178" s="114"/>
      <c r="Q178" s="114"/>
      <c r="R178" s="114"/>
      <c r="S178" s="114"/>
      <c r="T178" s="114"/>
      <c r="U178" s="114"/>
      <c r="V178" s="114"/>
      <c r="W178" s="114"/>
      <c r="X178" s="114"/>
      <c r="Y178" s="114"/>
      <c r="Z178" s="114"/>
      <c r="AA178" s="114"/>
      <c r="AB178" s="114"/>
      <c r="AC178" s="114"/>
      <c r="AD178" s="114"/>
      <c r="AE178" s="114"/>
      <c r="AF178" s="114"/>
      <c r="AG178" s="114"/>
      <c r="AH178" s="114"/>
      <c r="AI178" s="114"/>
      <c r="AJ178" s="114"/>
      <c r="AK178" s="114"/>
      <c r="AL178" s="114"/>
      <c r="AM178" s="114"/>
      <c r="AN178" s="114"/>
      <c r="AO178" s="114"/>
      <c r="AP178" s="114"/>
      <c r="AQ178" s="114"/>
      <c r="AR178" s="115"/>
      <c r="AW178" s="33">
        <v>0</v>
      </c>
      <c r="AY178">
        <v>0</v>
      </c>
    </row>
    <row r="179" spans="3:51" x14ac:dyDescent="0.25">
      <c r="C179" s="113"/>
      <c r="D179" s="114"/>
      <c r="E179" s="114"/>
      <c r="F179" s="114"/>
      <c r="G179" s="114"/>
      <c r="H179" s="114"/>
      <c r="I179" s="114"/>
      <c r="J179" s="114"/>
      <c r="K179" s="114"/>
      <c r="L179" s="114"/>
      <c r="M179" s="114"/>
      <c r="N179" s="114"/>
      <c r="O179" s="114"/>
      <c r="P179" s="114"/>
      <c r="Q179" s="114"/>
      <c r="R179" s="114"/>
      <c r="S179" s="114"/>
      <c r="T179" s="114"/>
      <c r="U179" s="114"/>
      <c r="V179" s="114"/>
      <c r="W179" s="114"/>
      <c r="X179" s="114"/>
      <c r="Y179" s="114"/>
      <c r="Z179" s="114"/>
      <c r="AA179" s="114"/>
      <c r="AB179" s="114"/>
      <c r="AC179" s="114"/>
      <c r="AD179" s="114"/>
      <c r="AE179" s="114"/>
      <c r="AF179" s="114"/>
      <c r="AG179" s="114"/>
      <c r="AH179" s="114"/>
      <c r="AI179" s="114"/>
      <c r="AJ179" s="114"/>
      <c r="AK179" s="114"/>
      <c r="AL179" s="114"/>
      <c r="AM179" s="114"/>
      <c r="AN179" s="114"/>
      <c r="AO179" s="114"/>
      <c r="AP179" s="114"/>
      <c r="AQ179" s="114"/>
      <c r="AR179" s="115"/>
      <c r="AW179" s="33">
        <v>0</v>
      </c>
      <c r="AY179">
        <v>0</v>
      </c>
    </row>
    <row r="180" spans="3:51" x14ac:dyDescent="0.25">
      <c r="C180" s="113"/>
      <c r="D180" s="114"/>
      <c r="E180" s="114"/>
      <c r="F180" s="114"/>
      <c r="G180" s="114"/>
      <c r="H180" s="114"/>
      <c r="I180" s="114"/>
      <c r="J180" s="114"/>
      <c r="K180" s="114"/>
      <c r="L180" s="114"/>
      <c r="M180" s="114"/>
      <c r="N180" s="114"/>
      <c r="O180" s="114"/>
      <c r="P180" s="114"/>
      <c r="Q180" s="114"/>
      <c r="R180" s="114"/>
      <c r="S180" s="114"/>
      <c r="T180" s="114"/>
      <c r="U180" s="114"/>
      <c r="V180" s="114"/>
      <c r="W180" s="114"/>
      <c r="X180" s="114"/>
      <c r="Y180" s="114"/>
      <c r="Z180" s="114"/>
      <c r="AA180" s="114"/>
      <c r="AB180" s="114"/>
      <c r="AC180" s="114"/>
      <c r="AD180" s="114"/>
      <c r="AE180" s="114"/>
      <c r="AF180" s="114"/>
      <c r="AG180" s="114"/>
      <c r="AH180" s="114"/>
      <c r="AI180" s="114"/>
      <c r="AJ180" s="114"/>
      <c r="AK180" s="114"/>
      <c r="AL180" s="114"/>
      <c r="AM180" s="114"/>
      <c r="AN180" s="114"/>
      <c r="AO180" s="114"/>
      <c r="AP180" s="114"/>
      <c r="AQ180" s="114"/>
      <c r="AR180" s="115"/>
      <c r="AW180" s="33">
        <v>0</v>
      </c>
      <c r="AY180">
        <v>0</v>
      </c>
    </row>
    <row r="181" spans="3:51" x14ac:dyDescent="0.25">
      <c r="C181" s="113"/>
      <c r="D181" s="114"/>
      <c r="E181" s="114"/>
      <c r="F181" s="114"/>
      <c r="G181" s="114"/>
      <c r="H181" s="114"/>
      <c r="I181" s="114"/>
      <c r="J181" s="114"/>
      <c r="K181" s="114"/>
      <c r="L181" s="114"/>
      <c r="M181" s="114"/>
      <c r="N181" s="114"/>
      <c r="O181" s="114"/>
      <c r="P181" s="114"/>
      <c r="Q181" s="114"/>
      <c r="R181" s="114"/>
      <c r="S181" s="114"/>
      <c r="T181" s="114"/>
      <c r="U181" s="114"/>
      <c r="V181" s="114"/>
      <c r="W181" s="114"/>
      <c r="X181" s="114"/>
      <c r="Y181" s="114"/>
      <c r="Z181" s="114"/>
      <c r="AA181" s="114"/>
      <c r="AB181" s="114"/>
      <c r="AC181" s="114"/>
      <c r="AD181" s="114"/>
      <c r="AE181" s="114"/>
      <c r="AF181" s="114"/>
      <c r="AG181" s="114"/>
      <c r="AH181" s="114"/>
      <c r="AI181" s="114"/>
      <c r="AJ181" s="114"/>
      <c r="AK181" s="114"/>
      <c r="AL181" s="114"/>
      <c r="AM181" s="114"/>
      <c r="AN181" s="114"/>
      <c r="AO181" s="114"/>
      <c r="AP181" s="114"/>
      <c r="AQ181" s="114"/>
      <c r="AR181" s="115"/>
      <c r="AW181" s="33">
        <v>0</v>
      </c>
      <c r="AY181">
        <v>0</v>
      </c>
    </row>
    <row r="182" spans="3:51" x14ac:dyDescent="0.25">
      <c r="C182" s="113"/>
      <c r="D182" s="114"/>
      <c r="E182" s="114"/>
      <c r="F182" s="114"/>
      <c r="G182" s="114"/>
      <c r="H182" s="114"/>
      <c r="I182" s="114"/>
      <c r="J182" s="114"/>
      <c r="K182" s="114"/>
      <c r="L182" s="114"/>
      <c r="M182" s="114"/>
      <c r="N182" s="114"/>
      <c r="O182" s="114"/>
      <c r="P182" s="114"/>
      <c r="Q182" s="114"/>
      <c r="R182" s="114"/>
      <c r="S182" s="114"/>
      <c r="T182" s="114"/>
      <c r="U182" s="114"/>
      <c r="V182" s="114"/>
      <c r="W182" s="114"/>
      <c r="X182" s="114"/>
      <c r="Y182" s="114"/>
      <c r="Z182" s="114"/>
      <c r="AA182" s="114"/>
      <c r="AB182" s="114"/>
      <c r="AC182" s="114"/>
      <c r="AD182" s="114"/>
      <c r="AE182" s="114"/>
      <c r="AF182" s="114"/>
      <c r="AG182" s="114"/>
      <c r="AH182" s="114"/>
      <c r="AI182" s="114"/>
      <c r="AJ182" s="114"/>
      <c r="AK182" s="114"/>
      <c r="AL182" s="114"/>
      <c r="AM182" s="114"/>
      <c r="AN182" s="114"/>
      <c r="AO182" s="114"/>
      <c r="AP182" s="114"/>
      <c r="AQ182" s="114"/>
      <c r="AR182" s="115"/>
      <c r="AW182" s="33">
        <v>0</v>
      </c>
      <c r="AY182">
        <v>0</v>
      </c>
    </row>
    <row r="183" spans="3:51" x14ac:dyDescent="0.25">
      <c r="C183" s="113"/>
      <c r="D183" s="114"/>
      <c r="E183" s="114"/>
      <c r="F183" s="114"/>
      <c r="G183" s="114"/>
      <c r="H183" s="114"/>
      <c r="I183" s="114"/>
      <c r="J183" s="114"/>
      <c r="K183" s="114"/>
      <c r="L183" s="114"/>
      <c r="M183" s="114"/>
      <c r="N183" s="114"/>
      <c r="O183" s="114"/>
      <c r="P183" s="114"/>
      <c r="Q183" s="114"/>
      <c r="R183" s="114"/>
      <c r="S183" s="114"/>
      <c r="T183" s="114"/>
      <c r="U183" s="114"/>
      <c r="V183" s="114"/>
      <c r="W183" s="114"/>
      <c r="X183" s="114"/>
      <c r="Y183" s="114"/>
      <c r="Z183" s="114"/>
      <c r="AA183" s="114"/>
      <c r="AB183" s="114"/>
      <c r="AC183" s="114"/>
      <c r="AD183" s="114"/>
      <c r="AE183" s="114"/>
      <c r="AF183" s="114"/>
      <c r="AG183" s="114"/>
      <c r="AH183" s="114"/>
      <c r="AI183" s="114"/>
      <c r="AJ183" s="114"/>
      <c r="AK183" s="114"/>
      <c r="AL183" s="114"/>
      <c r="AM183" s="114"/>
      <c r="AN183" s="114"/>
      <c r="AO183" s="114"/>
      <c r="AP183" s="114"/>
      <c r="AQ183" s="114"/>
      <c r="AR183" s="115"/>
      <c r="AW183" s="33">
        <v>0</v>
      </c>
      <c r="AY183">
        <v>0</v>
      </c>
    </row>
    <row r="184" spans="3:51" x14ac:dyDescent="0.25">
      <c r="C184" s="113"/>
      <c r="D184" s="114"/>
      <c r="E184" s="114"/>
      <c r="F184" s="114"/>
      <c r="G184" s="114"/>
      <c r="H184" s="114"/>
      <c r="I184" s="114"/>
      <c r="J184" s="114"/>
      <c r="K184" s="114"/>
      <c r="L184" s="114"/>
      <c r="M184" s="114"/>
      <c r="N184" s="114"/>
      <c r="O184" s="114"/>
      <c r="P184" s="114"/>
      <c r="Q184" s="114"/>
      <c r="R184" s="114"/>
      <c r="S184" s="114"/>
      <c r="T184" s="114"/>
      <c r="U184" s="114"/>
      <c r="V184" s="114"/>
      <c r="W184" s="114"/>
      <c r="X184" s="114"/>
      <c r="Y184" s="114"/>
      <c r="Z184" s="114"/>
      <c r="AA184" s="114"/>
      <c r="AB184" s="114"/>
      <c r="AC184" s="114"/>
      <c r="AD184" s="114"/>
      <c r="AE184" s="114"/>
      <c r="AF184" s="114"/>
      <c r="AG184" s="114"/>
      <c r="AH184" s="114"/>
      <c r="AI184" s="114"/>
      <c r="AJ184" s="114"/>
      <c r="AK184" s="114"/>
      <c r="AL184" s="114"/>
      <c r="AM184" s="114"/>
      <c r="AN184" s="114"/>
      <c r="AO184" s="114"/>
      <c r="AP184" s="114"/>
      <c r="AQ184" s="114"/>
      <c r="AR184" s="115"/>
      <c r="AW184" s="33">
        <v>0</v>
      </c>
      <c r="AY184">
        <v>0</v>
      </c>
    </row>
    <row r="185" spans="3:51" x14ac:dyDescent="0.25">
      <c r="C185" s="113"/>
      <c r="D185" s="114"/>
      <c r="E185" s="114"/>
      <c r="F185" s="114"/>
      <c r="G185" s="114"/>
      <c r="H185" s="114"/>
      <c r="I185" s="114"/>
      <c r="J185" s="114"/>
      <c r="K185" s="114"/>
      <c r="L185" s="114"/>
      <c r="M185" s="114"/>
      <c r="N185" s="114"/>
      <c r="O185" s="114"/>
      <c r="P185" s="114"/>
      <c r="Q185" s="114"/>
      <c r="R185" s="114"/>
      <c r="S185" s="114"/>
      <c r="T185" s="114"/>
      <c r="U185" s="114"/>
      <c r="V185" s="114"/>
      <c r="W185" s="114"/>
      <c r="X185" s="114"/>
      <c r="Y185" s="114"/>
      <c r="Z185" s="114"/>
      <c r="AA185" s="114"/>
      <c r="AB185" s="114"/>
      <c r="AC185" s="114"/>
      <c r="AD185" s="114"/>
      <c r="AE185" s="114"/>
      <c r="AF185" s="114"/>
      <c r="AG185" s="114"/>
      <c r="AH185" s="114"/>
      <c r="AI185" s="114"/>
      <c r="AJ185" s="114"/>
      <c r="AK185" s="114"/>
      <c r="AL185" s="114"/>
      <c r="AM185" s="114"/>
      <c r="AN185" s="114"/>
      <c r="AO185" s="114"/>
      <c r="AP185" s="114"/>
      <c r="AQ185" s="114"/>
      <c r="AR185" s="115"/>
      <c r="AW185" s="33">
        <v>0</v>
      </c>
      <c r="AY185">
        <v>0</v>
      </c>
    </row>
    <row r="186" spans="3:51" x14ac:dyDescent="0.25">
      <c r="C186" s="113"/>
      <c r="D186" s="114"/>
      <c r="E186" s="114"/>
      <c r="F186" s="114"/>
      <c r="G186" s="114"/>
      <c r="H186" s="114"/>
      <c r="I186" s="114"/>
      <c r="J186" s="114"/>
      <c r="K186" s="114"/>
      <c r="L186" s="114"/>
      <c r="M186" s="114"/>
      <c r="N186" s="114"/>
      <c r="O186" s="114"/>
      <c r="P186" s="114"/>
      <c r="Q186" s="114"/>
      <c r="R186" s="114"/>
      <c r="S186" s="114"/>
      <c r="T186" s="114"/>
      <c r="U186" s="114"/>
      <c r="V186" s="114"/>
      <c r="W186" s="114"/>
      <c r="X186" s="114"/>
      <c r="Y186" s="114"/>
      <c r="Z186" s="114"/>
      <c r="AA186" s="114"/>
      <c r="AB186" s="114"/>
      <c r="AC186" s="114"/>
      <c r="AD186" s="114"/>
      <c r="AE186" s="114"/>
      <c r="AF186" s="114"/>
      <c r="AG186" s="114"/>
      <c r="AH186" s="114"/>
      <c r="AI186" s="114"/>
      <c r="AJ186" s="114"/>
      <c r="AK186" s="114"/>
      <c r="AL186" s="114"/>
      <c r="AM186" s="114"/>
      <c r="AN186" s="114"/>
      <c r="AO186" s="114"/>
      <c r="AP186" s="114"/>
      <c r="AQ186" s="114"/>
      <c r="AR186" s="115"/>
      <c r="AW186" s="33">
        <v>0</v>
      </c>
      <c r="AY186">
        <v>0</v>
      </c>
    </row>
    <row r="187" spans="3:51" x14ac:dyDescent="0.25">
      <c r="C187" s="113"/>
      <c r="D187" s="114"/>
      <c r="E187" s="114"/>
      <c r="F187" s="114"/>
      <c r="G187" s="114"/>
      <c r="H187" s="114"/>
      <c r="I187" s="114"/>
      <c r="J187" s="114"/>
      <c r="K187" s="114"/>
      <c r="L187" s="114"/>
      <c r="M187" s="114"/>
      <c r="N187" s="114"/>
      <c r="O187" s="114"/>
      <c r="P187" s="114"/>
      <c r="Q187" s="114"/>
      <c r="R187" s="114"/>
      <c r="S187" s="114"/>
      <c r="T187" s="114"/>
      <c r="U187" s="114"/>
      <c r="V187" s="114"/>
      <c r="W187" s="114"/>
      <c r="X187" s="114"/>
      <c r="Y187" s="114"/>
      <c r="Z187" s="114"/>
      <c r="AA187" s="114"/>
      <c r="AB187" s="114"/>
      <c r="AC187" s="114"/>
      <c r="AD187" s="114"/>
      <c r="AE187" s="114"/>
      <c r="AF187" s="114"/>
      <c r="AG187" s="114"/>
      <c r="AH187" s="114"/>
      <c r="AI187" s="114"/>
      <c r="AJ187" s="114"/>
      <c r="AK187" s="114"/>
      <c r="AL187" s="114"/>
      <c r="AM187" s="114"/>
      <c r="AN187" s="114"/>
      <c r="AO187" s="114"/>
      <c r="AP187" s="114"/>
      <c r="AQ187" s="114"/>
      <c r="AR187" s="115"/>
      <c r="AW187" s="33">
        <v>0</v>
      </c>
      <c r="AY187">
        <v>0</v>
      </c>
    </row>
    <row r="188" spans="3:51" x14ac:dyDescent="0.25">
      <c r="C188" s="113"/>
      <c r="D188" s="114"/>
      <c r="E188" s="114"/>
      <c r="F188" s="114"/>
      <c r="G188" s="114"/>
      <c r="H188" s="114"/>
      <c r="I188" s="114"/>
      <c r="J188" s="114"/>
      <c r="K188" s="114"/>
      <c r="L188" s="114"/>
      <c r="M188" s="114"/>
      <c r="N188" s="114"/>
      <c r="O188" s="114"/>
      <c r="P188" s="114"/>
      <c r="Q188" s="114"/>
      <c r="R188" s="114"/>
      <c r="S188" s="114"/>
      <c r="T188" s="114"/>
      <c r="U188" s="114"/>
      <c r="V188" s="114"/>
      <c r="W188" s="114"/>
      <c r="X188" s="114"/>
      <c r="Y188" s="114"/>
      <c r="Z188" s="114"/>
      <c r="AA188" s="114"/>
      <c r="AB188" s="114"/>
      <c r="AC188" s="114"/>
      <c r="AD188" s="114"/>
      <c r="AE188" s="114"/>
      <c r="AF188" s="114"/>
      <c r="AG188" s="114"/>
      <c r="AH188" s="114"/>
      <c r="AI188" s="114"/>
      <c r="AJ188" s="114"/>
      <c r="AK188" s="114"/>
      <c r="AL188" s="114"/>
      <c r="AM188" s="114"/>
      <c r="AN188" s="114"/>
      <c r="AO188" s="114"/>
      <c r="AP188" s="114"/>
      <c r="AQ188" s="114"/>
      <c r="AR188" s="115"/>
      <c r="AW188" s="33">
        <v>0</v>
      </c>
      <c r="AY188">
        <v>0</v>
      </c>
    </row>
    <row r="189" spans="3:51" x14ac:dyDescent="0.25">
      <c r="C189" s="113"/>
      <c r="D189" s="114"/>
      <c r="E189" s="114"/>
      <c r="F189" s="114"/>
      <c r="G189" s="114"/>
      <c r="H189" s="114"/>
      <c r="I189" s="114"/>
      <c r="J189" s="114"/>
      <c r="K189" s="114"/>
      <c r="L189" s="114"/>
      <c r="M189" s="114"/>
      <c r="N189" s="114"/>
      <c r="O189" s="114"/>
      <c r="P189" s="114"/>
      <c r="Q189" s="114"/>
      <c r="R189" s="114"/>
      <c r="S189" s="114"/>
      <c r="T189" s="114"/>
      <c r="U189" s="114"/>
      <c r="V189" s="114"/>
      <c r="W189" s="114"/>
      <c r="X189" s="114"/>
      <c r="Y189" s="114"/>
      <c r="Z189" s="114"/>
      <c r="AA189" s="114"/>
      <c r="AB189" s="114"/>
      <c r="AC189" s="114"/>
      <c r="AD189" s="114"/>
      <c r="AE189" s="114"/>
      <c r="AF189" s="114"/>
      <c r="AG189" s="114"/>
      <c r="AH189" s="114"/>
      <c r="AI189" s="114"/>
      <c r="AJ189" s="114"/>
      <c r="AK189" s="114"/>
      <c r="AL189" s="114"/>
      <c r="AM189" s="114"/>
      <c r="AN189" s="114"/>
      <c r="AO189" s="114"/>
      <c r="AP189" s="114"/>
      <c r="AQ189" s="114"/>
      <c r="AR189" s="115"/>
      <c r="AW189" s="33">
        <v>0</v>
      </c>
      <c r="AY189">
        <v>0</v>
      </c>
    </row>
    <row r="190" spans="3:51" x14ac:dyDescent="0.25">
      <c r="C190" s="113"/>
      <c r="D190" s="114"/>
      <c r="E190" s="114"/>
      <c r="F190" s="114"/>
      <c r="G190" s="114"/>
      <c r="H190" s="114"/>
      <c r="I190" s="114"/>
      <c r="J190" s="114"/>
      <c r="K190" s="114"/>
      <c r="L190" s="114"/>
      <c r="M190" s="114"/>
      <c r="N190" s="114"/>
      <c r="O190" s="114"/>
      <c r="P190" s="114"/>
      <c r="Q190" s="114"/>
      <c r="R190" s="114"/>
      <c r="S190" s="114"/>
      <c r="T190" s="114"/>
      <c r="U190" s="114"/>
      <c r="V190" s="114"/>
      <c r="W190" s="114"/>
      <c r="X190" s="114"/>
      <c r="Y190" s="114"/>
      <c r="Z190" s="114"/>
      <c r="AA190" s="114"/>
      <c r="AB190" s="114"/>
      <c r="AC190" s="114"/>
      <c r="AD190" s="114"/>
      <c r="AE190" s="114"/>
      <c r="AF190" s="114"/>
      <c r="AG190" s="114"/>
      <c r="AH190" s="114"/>
      <c r="AI190" s="114"/>
      <c r="AJ190" s="114"/>
      <c r="AK190" s="114"/>
      <c r="AL190" s="114"/>
      <c r="AM190" s="114"/>
      <c r="AN190" s="114"/>
      <c r="AO190" s="114"/>
      <c r="AP190" s="114"/>
      <c r="AQ190" s="114"/>
      <c r="AR190" s="115"/>
      <c r="AW190" s="33">
        <v>0</v>
      </c>
      <c r="AY190">
        <v>0</v>
      </c>
    </row>
    <row r="191" spans="3:51" x14ac:dyDescent="0.25">
      <c r="C191" s="113"/>
      <c r="D191" s="114"/>
      <c r="E191" s="114"/>
      <c r="F191" s="114"/>
      <c r="G191" s="114"/>
      <c r="H191" s="114"/>
      <c r="I191" s="114"/>
      <c r="J191" s="114"/>
      <c r="K191" s="114"/>
      <c r="L191" s="114"/>
      <c r="M191" s="114"/>
      <c r="N191" s="114"/>
      <c r="O191" s="114"/>
      <c r="P191" s="114"/>
      <c r="Q191" s="114"/>
      <c r="R191" s="114"/>
      <c r="S191" s="114"/>
      <c r="T191" s="114"/>
      <c r="U191" s="114"/>
      <c r="V191" s="114"/>
      <c r="W191" s="114"/>
      <c r="X191" s="114"/>
      <c r="Y191" s="114"/>
      <c r="Z191" s="114"/>
      <c r="AA191" s="114"/>
      <c r="AB191" s="114"/>
      <c r="AC191" s="114"/>
      <c r="AD191" s="114"/>
      <c r="AE191" s="114"/>
      <c r="AF191" s="114"/>
      <c r="AG191" s="114"/>
      <c r="AH191" s="114"/>
      <c r="AI191" s="114"/>
      <c r="AJ191" s="114"/>
      <c r="AK191" s="114"/>
      <c r="AL191" s="114"/>
      <c r="AM191" s="114"/>
      <c r="AN191" s="114"/>
      <c r="AO191" s="114"/>
      <c r="AP191" s="114"/>
      <c r="AQ191" s="114"/>
      <c r="AR191" s="115"/>
      <c r="AW191" s="33">
        <v>0</v>
      </c>
      <c r="AY191">
        <v>0</v>
      </c>
    </row>
    <row r="192" spans="3:51" x14ac:dyDescent="0.25">
      <c r="C192" s="113"/>
      <c r="D192" s="114"/>
      <c r="E192" s="114"/>
      <c r="F192" s="114"/>
      <c r="G192" s="114"/>
      <c r="H192" s="114"/>
      <c r="I192" s="114"/>
      <c r="J192" s="114"/>
      <c r="K192" s="114"/>
      <c r="L192" s="114"/>
      <c r="M192" s="114"/>
      <c r="N192" s="114"/>
      <c r="O192" s="114"/>
      <c r="P192" s="114"/>
      <c r="Q192" s="114"/>
      <c r="R192" s="114"/>
      <c r="S192" s="114"/>
      <c r="T192" s="114"/>
      <c r="U192" s="114"/>
      <c r="V192" s="114"/>
      <c r="W192" s="114"/>
      <c r="X192" s="114"/>
      <c r="Y192" s="114"/>
      <c r="Z192" s="114"/>
      <c r="AA192" s="114"/>
      <c r="AB192" s="114"/>
      <c r="AC192" s="114"/>
      <c r="AD192" s="114"/>
      <c r="AE192" s="114"/>
      <c r="AF192" s="114"/>
      <c r="AG192" s="114"/>
      <c r="AH192" s="114"/>
      <c r="AI192" s="114"/>
      <c r="AJ192" s="114"/>
      <c r="AK192" s="114"/>
      <c r="AL192" s="114"/>
      <c r="AM192" s="114"/>
      <c r="AN192" s="114"/>
      <c r="AO192" s="114"/>
      <c r="AP192" s="114"/>
      <c r="AQ192" s="114"/>
      <c r="AR192" s="115"/>
      <c r="AW192" s="33">
        <v>0</v>
      </c>
      <c r="AY192">
        <v>0</v>
      </c>
    </row>
    <row r="193" spans="3:51" x14ac:dyDescent="0.25">
      <c r="C193" s="113"/>
      <c r="D193" s="114"/>
      <c r="E193" s="114"/>
      <c r="F193" s="114"/>
      <c r="G193" s="114"/>
      <c r="H193" s="114"/>
      <c r="I193" s="114"/>
      <c r="J193" s="114"/>
      <c r="K193" s="114"/>
      <c r="L193" s="114"/>
      <c r="M193" s="114"/>
      <c r="N193" s="114"/>
      <c r="O193" s="114"/>
      <c r="P193" s="114"/>
      <c r="Q193" s="114"/>
      <c r="R193" s="114"/>
      <c r="S193" s="114"/>
      <c r="T193" s="114"/>
      <c r="U193" s="114"/>
      <c r="V193" s="114"/>
      <c r="W193" s="114"/>
      <c r="X193" s="114"/>
      <c r="Y193" s="114"/>
      <c r="Z193" s="114"/>
      <c r="AA193" s="114"/>
      <c r="AB193" s="114"/>
      <c r="AC193" s="114"/>
      <c r="AD193" s="114"/>
      <c r="AE193" s="114"/>
      <c r="AF193" s="114"/>
      <c r="AG193" s="114"/>
      <c r="AH193" s="114"/>
      <c r="AI193" s="114"/>
      <c r="AJ193" s="114"/>
      <c r="AK193" s="114"/>
      <c r="AL193" s="114"/>
      <c r="AM193" s="114"/>
      <c r="AN193" s="114"/>
      <c r="AO193" s="114"/>
      <c r="AP193" s="114"/>
      <c r="AQ193" s="114"/>
      <c r="AR193" s="115"/>
      <c r="AW193" s="33">
        <v>0</v>
      </c>
      <c r="AY193">
        <v>0</v>
      </c>
    </row>
    <row r="194" spans="3:51" x14ac:dyDescent="0.25">
      <c r="C194" s="113"/>
      <c r="D194" s="114"/>
      <c r="E194" s="114"/>
      <c r="F194" s="114"/>
      <c r="G194" s="114"/>
      <c r="H194" s="114"/>
      <c r="I194" s="114"/>
      <c r="J194" s="114"/>
      <c r="K194" s="114"/>
      <c r="L194" s="114"/>
      <c r="M194" s="114"/>
      <c r="N194" s="114"/>
      <c r="O194" s="114"/>
      <c r="P194" s="114"/>
      <c r="Q194" s="114"/>
      <c r="R194" s="114"/>
      <c r="S194" s="114"/>
      <c r="T194" s="114"/>
      <c r="U194" s="114"/>
      <c r="V194" s="114"/>
      <c r="W194" s="114"/>
      <c r="X194" s="114"/>
      <c r="Y194" s="114"/>
      <c r="Z194" s="114"/>
      <c r="AA194" s="114"/>
      <c r="AB194" s="114"/>
      <c r="AC194" s="114"/>
      <c r="AD194" s="114"/>
      <c r="AE194" s="114"/>
      <c r="AF194" s="114"/>
      <c r="AG194" s="114"/>
      <c r="AH194" s="114"/>
      <c r="AI194" s="114"/>
      <c r="AJ194" s="114"/>
      <c r="AK194" s="114"/>
      <c r="AL194" s="114"/>
      <c r="AM194" s="114"/>
      <c r="AN194" s="114"/>
      <c r="AO194" s="114"/>
      <c r="AP194" s="114"/>
      <c r="AQ194" s="114"/>
      <c r="AR194" s="115"/>
      <c r="AW194" s="33">
        <v>0</v>
      </c>
      <c r="AY194">
        <v>0</v>
      </c>
    </row>
    <row r="195" spans="3:51" x14ac:dyDescent="0.25">
      <c r="C195" s="113"/>
      <c r="D195" s="114"/>
      <c r="E195" s="114"/>
      <c r="F195" s="114"/>
      <c r="G195" s="114"/>
      <c r="H195" s="114"/>
      <c r="I195" s="114"/>
      <c r="J195" s="114"/>
      <c r="K195" s="114"/>
      <c r="L195" s="114"/>
      <c r="M195" s="114"/>
      <c r="N195" s="114"/>
      <c r="O195" s="114"/>
      <c r="P195" s="114"/>
      <c r="Q195" s="114"/>
      <c r="R195" s="114"/>
      <c r="S195" s="114"/>
      <c r="T195" s="114"/>
      <c r="U195" s="114"/>
      <c r="V195" s="114"/>
      <c r="W195" s="114"/>
      <c r="X195" s="114"/>
      <c r="Y195" s="114"/>
      <c r="Z195" s="114"/>
      <c r="AA195" s="114"/>
      <c r="AB195" s="114"/>
      <c r="AC195" s="114"/>
      <c r="AD195" s="114"/>
      <c r="AE195" s="114"/>
      <c r="AF195" s="114"/>
      <c r="AG195" s="114"/>
      <c r="AH195" s="114"/>
      <c r="AI195" s="114"/>
      <c r="AJ195" s="114"/>
      <c r="AK195" s="114"/>
      <c r="AL195" s="114"/>
      <c r="AM195" s="114"/>
      <c r="AN195" s="114"/>
      <c r="AO195" s="114"/>
      <c r="AP195" s="114"/>
      <c r="AQ195" s="114"/>
      <c r="AR195" s="115"/>
      <c r="AW195" s="33">
        <v>0</v>
      </c>
      <c r="AY195">
        <v>0</v>
      </c>
    </row>
    <row r="196" spans="3:51" x14ac:dyDescent="0.25">
      <c r="C196" s="113"/>
      <c r="D196" s="114"/>
      <c r="E196" s="114"/>
      <c r="F196" s="114"/>
      <c r="G196" s="114"/>
      <c r="H196" s="114"/>
      <c r="I196" s="114"/>
      <c r="J196" s="114"/>
      <c r="K196" s="114"/>
      <c r="L196" s="114"/>
      <c r="M196" s="114"/>
      <c r="N196" s="114"/>
      <c r="O196" s="114"/>
      <c r="P196" s="114"/>
      <c r="Q196" s="114"/>
      <c r="R196" s="114"/>
      <c r="S196" s="114"/>
      <c r="T196" s="114"/>
      <c r="U196" s="114"/>
      <c r="V196" s="114"/>
      <c r="W196" s="114"/>
      <c r="X196" s="114"/>
      <c r="Y196" s="114"/>
      <c r="Z196" s="114"/>
      <c r="AA196" s="114"/>
      <c r="AB196" s="114"/>
      <c r="AC196" s="114"/>
      <c r="AD196" s="114"/>
      <c r="AE196" s="114"/>
      <c r="AF196" s="114"/>
      <c r="AG196" s="114"/>
      <c r="AH196" s="114"/>
      <c r="AI196" s="114"/>
      <c r="AJ196" s="114"/>
      <c r="AK196" s="114"/>
      <c r="AL196" s="114"/>
      <c r="AM196" s="114"/>
      <c r="AN196" s="114"/>
      <c r="AO196" s="114"/>
      <c r="AP196" s="114"/>
      <c r="AQ196" s="114"/>
      <c r="AR196" s="115"/>
      <c r="AW196" s="33">
        <v>0</v>
      </c>
      <c r="AY196">
        <v>0</v>
      </c>
    </row>
    <row r="197" spans="3:51" x14ac:dyDescent="0.25">
      <c r="C197" s="113"/>
      <c r="D197" s="114"/>
      <c r="E197" s="114"/>
      <c r="F197" s="114"/>
      <c r="G197" s="114"/>
      <c r="H197" s="114"/>
      <c r="I197" s="114"/>
      <c r="J197" s="114"/>
      <c r="K197" s="114"/>
      <c r="L197" s="114"/>
      <c r="M197" s="114"/>
      <c r="N197" s="114"/>
      <c r="O197" s="114"/>
      <c r="P197" s="114"/>
      <c r="Q197" s="114"/>
      <c r="R197" s="114"/>
      <c r="S197" s="114"/>
      <c r="T197" s="114"/>
      <c r="U197" s="114"/>
      <c r="V197" s="114"/>
      <c r="W197" s="114"/>
      <c r="X197" s="114"/>
      <c r="Y197" s="114"/>
      <c r="Z197" s="114"/>
      <c r="AA197" s="114"/>
      <c r="AB197" s="114"/>
      <c r="AC197" s="114"/>
      <c r="AD197" s="114"/>
      <c r="AE197" s="114"/>
      <c r="AF197" s="114"/>
      <c r="AG197" s="114"/>
      <c r="AH197" s="114"/>
      <c r="AI197" s="114"/>
      <c r="AJ197" s="114"/>
      <c r="AK197" s="114"/>
      <c r="AL197" s="114"/>
      <c r="AM197" s="114"/>
      <c r="AN197" s="114"/>
      <c r="AO197" s="114"/>
      <c r="AP197" s="114"/>
      <c r="AQ197" s="114"/>
      <c r="AR197" s="115"/>
      <c r="AW197" s="33">
        <v>0</v>
      </c>
      <c r="AY197">
        <v>0</v>
      </c>
    </row>
    <row r="198" spans="3:51" x14ac:dyDescent="0.25">
      <c r="C198" s="113"/>
      <c r="D198" s="114"/>
      <c r="E198" s="114"/>
      <c r="F198" s="114"/>
      <c r="G198" s="114"/>
      <c r="H198" s="114"/>
      <c r="I198" s="114"/>
      <c r="J198" s="114"/>
      <c r="K198" s="114"/>
      <c r="L198" s="114"/>
      <c r="M198" s="114"/>
      <c r="N198" s="114"/>
      <c r="O198" s="114"/>
      <c r="P198" s="114"/>
      <c r="Q198" s="114"/>
      <c r="R198" s="114"/>
      <c r="S198" s="114"/>
      <c r="T198" s="114"/>
      <c r="U198" s="114"/>
      <c r="V198" s="114"/>
      <c r="W198" s="114"/>
      <c r="X198" s="114"/>
      <c r="Y198" s="114"/>
      <c r="Z198" s="114"/>
      <c r="AA198" s="114"/>
      <c r="AB198" s="114"/>
      <c r="AC198" s="114"/>
      <c r="AD198" s="114"/>
      <c r="AE198" s="114"/>
      <c r="AF198" s="114"/>
      <c r="AG198" s="114"/>
      <c r="AH198" s="114"/>
      <c r="AI198" s="114"/>
      <c r="AJ198" s="114"/>
      <c r="AK198" s="114"/>
      <c r="AL198" s="114"/>
      <c r="AM198" s="114"/>
      <c r="AN198" s="114"/>
      <c r="AO198" s="114"/>
      <c r="AP198" s="114"/>
      <c r="AQ198" s="114"/>
      <c r="AR198" s="115"/>
      <c r="AW198" s="33">
        <v>0</v>
      </c>
      <c r="AY198">
        <v>0</v>
      </c>
    </row>
    <row r="199" spans="3:51" x14ac:dyDescent="0.25">
      <c r="C199" s="113"/>
      <c r="D199" s="114"/>
      <c r="E199" s="114"/>
      <c r="F199" s="114"/>
      <c r="G199" s="114"/>
      <c r="H199" s="114"/>
      <c r="I199" s="114"/>
      <c r="J199" s="114"/>
      <c r="K199" s="114"/>
      <c r="L199" s="114"/>
      <c r="M199" s="114"/>
      <c r="N199" s="114"/>
      <c r="O199" s="114"/>
      <c r="P199" s="114"/>
      <c r="Q199" s="114"/>
      <c r="R199" s="114"/>
      <c r="S199" s="114"/>
      <c r="T199" s="114"/>
      <c r="U199" s="114"/>
      <c r="V199" s="114"/>
      <c r="W199" s="114"/>
      <c r="X199" s="114"/>
      <c r="Y199" s="114"/>
      <c r="Z199" s="114"/>
      <c r="AA199" s="114"/>
      <c r="AB199" s="114"/>
      <c r="AC199" s="114"/>
      <c r="AD199" s="114"/>
      <c r="AE199" s="114"/>
      <c r="AF199" s="114"/>
      <c r="AG199" s="114"/>
      <c r="AH199" s="114"/>
      <c r="AI199" s="114"/>
      <c r="AJ199" s="114"/>
      <c r="AK199" s="114"/>
      <c r="AL199" s="114"/>
      <c r="AM199" s="114"/>
      <c r="AN199" s="114"/>
      <c r="AO199" s="114"/>
      <c r="AP199" s="114"/>
      <c r="AQ199" s="114"/>
      <c r="AR199" s="115"/>
      <c r="AW199" s="33">
        <v>0</v>
      </c>
      <c r="AY199">
        <v>0</v>
      </c>
    </row>
    <row r="200" spans="3:51" x14ac:dyDescent="0.25">
      <c r="C200" s="113"/>
      <c r="D200" s="114"/>
      <c r="E200" s="114"/>
      <c r="F200" s="114"/>
      <c r="G200" s="114"/>
      <c r="H200" s="114"/>
      <c r="I200" s="114"/>
      <c r="J200" s="114"/>
      <c r="K200" s="114"/>
      <c r="L200" s="114"/>
      <c r="M200" s="114"/>
      <c r="N200" s="114"/>
      <c r="O200" s="114"/>
      <c r="P200" s="114"/>
      <c r="Q200" s="114"/>
      <c r="R200" s="114"/>
      <c r="S200" s="114"/>
      <c r="T200" s="114"/>
      <c r="U200" s="114"/>
      <c r="V200" s="114"/>
      <c r="W200" s="114"/>
      <c r="X200" s="114"/>
      <c r="Y200" s="114"/>
      <c r="Z200" s="114"/>
      <c r="AA200" s="114"/>
      <c r="AB200" s="114"/>
      <c r="AC200" s="114"/>
      <c r="AD200" s="114"/>
      <c r="AE200" s="114"/>
      <c r="AF200" s="114"/>
      <c r="AG200" s="114"/>
      <c r="AH200" s="114"/>
      <c r="AI200" s="114"/>
      <c r="AJ200" s="114"/>
      <c r="AK200" s="114"/>
      <c r="AL200" s="114"/>
      <c r="AM200" s="114"/>
      <c r="AN200" s="114"/>
      <c r="AO200" s="114"/>
      <c r="AP200" s="114"/>
      <c r="AQ200" s="114"/>
      <c r="AR200" s="115"/>
      <c r="AW200" s="33">
        <v>0</v>
      </c>
      <c r="AY200">
        <v>0</v>
      </c>
    </row>
    <row r="201" spans="3:51" x14ac:dyDescent="0.25">
      <c r="C201" s="113"/>
      <c r="D201" s="114"/>
      <c r="E201" s="114"/>
      <c r="F201" s="114"/>
      <c r="G201" s="114"/>
      <c r="H201" s="114"/>
      <c r="I201" s="114"/>
      <c r="J201" s="114"/>
      <c r="K201" s="114"/>
      <c r="L201" s="114"/>
      <c r="M201" s="114"/>
      <c r="N201" s="114"/>
      <c r="O201" s="114"/>
      <c r="P201" s="114"/>
      <c r="Q201" s="114"/>
      <c r="R201" s="114"/>
      <c r="S201" s="114"/>
      <c r="T201" s="114"/>
      <c r="U201" s="114"/>
      <c r="V201" s="114"/>
      <c r="W201" s="114"/>
      <c r="X201" s="114"/>
      <c r="Y201" s="114"/>
      <c r="Z201" s="114"/>
      <c r="AA201" s="114"/>
      <c r="AB201" s="114"/>
      <c r="AC201" s="114"/>
      <c r="AD201" s="114"/>
      <c r="AE201" s="114"/>
      <c r="AF201" s="114"/>
      <c r="AG201" s="114"/>
      <c r="AH201" s="114"/>
      <c r="AI201" s="114"/>
      <c r="AJ201" s="114"/>
      <c r="AK201" s="114"/>
      <c r="AL201" s="114"/>
      <c r="AM201" s="114"/>
      <c r="AN201" s="114"/>
      <c r="AO201" s="114"/>
      <c r="AP201" s="114"/>
      <c r="AQ201" s="114"/>
      <c r="AR201" s="115"/>
      <c r="AW201" s="33">
        <v>0</v>
      </c>
      <c r="AY201">
        <v>0</v>
      </c>
    </row>
    <row r="202" spans="3:51" x14ac:dyDescent="0.25">
      <c r="C202" s="113"/>
      <c r="D202" s="114"/>
      <c r="E202" s="114"/>
      <c r="F202" s="114"/>
      <c r="G202" s="114"/>
      <c r="H202" s="114"/>
      <c r="I202" s="114"/>
      <c r="J202" s="114"/>
      <c r="K202" s="114"/>
      <c r="L202" s="114"/>
      <c r="M202" s="114"/>
      <c r="N202" s="114"/>
      <c r="O202" s="114"/>
      <c r="P202" s="114"/>
      <c r="Q202" s="114"/>
      <c r="R202" s="114"/>
      <c r="S202" s="114"/>
      <c r="T202" s="114"/>
      <c r="U202" s="114"/>
      <c r="V202" s="114"/>
      <c r="W202" s="114"/>
      <c r="X202" s="114"/>
      <c r="Y202" s="114"/>
      <c r="Z202" s="114"/>
      <c r="AA202" s="114"/>
      <c r="AB202" s="114"/>
      <c r="AC202" s="114"/>
      <c r="AD202" s="114"/>
      <c r="AE202" s="114"/>
      <c r="AF202" s="114"/>
      <c r="AG202" s="114"/>
      <c r="AH202" s="114"/>
      <c r="AI202" s="114"/>
      <c r="AJ202" s="114"/>
      <c r="AK202" s="114"/>
      <c r="AL202" s="114"/>
      <c r="AM202" s="114"/>
      <c r="AN202" s="114"/>
      <c r="AO202" s="114"/>
      <c r="AP202" s="114"/>
      <c r="AQ202" s="114"/>
      <c r="AR202" s="115"/>
      <c r="AW202" s="33">
        <v>0</v>
      </c>
      <c r="AY202">
        <v>0</v>
      </c>
    </row>
    <row r="203" spans="3:51" x14ac:dyDescent="0.25">
      <c r="C203" s="113"/>
      <c r="D203" s="114"/>
      <c r="E203" s="114"/>
      <c r="F203" s="114"/>
      <c r="G203" s="114"/>
      <c r="H203" s="114"/>
      <c r="I203" s="114"/>
      <c r="J203" s="114"/>
      <c r="K203" s="114"/>
      <c r="L203" s="114"/>
      <c r="M203" s="114"/>
      <c r="N203" s="114"/>
      <c r="O203" s="114"/>
      <c r="P203" s="114"/>
      <c r="Q203" s="114"/>
      <c r="R203" s="114"/>
      <c r="S203" s="114"/>
      <c r="T203" s="114"/>
      <c r="U203" s="114"/>
      <c r="V203" s="114"/>
      <c r="W203" s="114"/>
      <c r="X203" s="114"/>
      <c r="Y203" s="114"/>
      <c r="Z203" s="114"/>
      <c r="AA203" s="114"/>
      <c r="AB203" s="114"/>
      <c r="AC203" s="114"/>
      <c r="AD203" s="114"/>
      <c r="AE203" s="114"/>
      <c r="AF203" s="114"/>
      <c r="AG203" s="114"/>
      <c r="AH203" s="114"/>
      <c r="AI203" s="114"/>
      <c r="AJ203" s="114"/>
      <c r="AK203" s="114"/>
      <c r="AL203" s="114"/>
      <c r="AM203" s="114"/>
      <c r="AN203" s="114"/>
      <c r="AO203" s="114"/>
      <c r="AP203" s="114"/>
      <c r="AQ203" s="114"/>
      <c r="AR203" s="115"/>
      <c r="AW203" s="33">
        <v>0</v>
      </c>
      <c r="AY203">
        <v>0</v>
      </c>
    </row>
    <row r="204" spans="3:51" x14ac:dyDescent="0.25">
      <c r="C204" s="113"/>
      <c r="D204" s="114"/>
      <c r="E204" s="114"/>
      <c r="F204" s="114"/>
      <c r="G204" s="114"/>
      <c r="H204" s="114"/>
      <c r="I204" s="114"/>
      <c r="J204" s="114"/>
      <c r="K204" s="114"/>
      <c r="L204" s="114"/>
      <c r="M204" s="114"/>
      <c r="N204" s="114"/>
      <c r="O204" s="114"/>
      <c r="P204" s="114"/>
      <c r="Q204" s="114"/>
      <c r="R204" s="114"/>
      <c r="S204" s="114"/>
      <c r="T204" s="114"/>
      <c r="U204" s="114"/>
      <c r="V204" s="114"/>
      <c r="W204" s="114"/>
      <c r="X204" s="114"/>
      <c r="Y204" s="114"/>
      <c r="Z204" s="114"/>
      <c r="AA204" s="114"/>
      <c r="AB204" s="114"/>
      <c r="AC204" s="114"/>
      <c r="AD204" s="114"/>
      <c r="AE204" s="114"/>
      <c r="AF204" s="114"/>
      <c r="AG204" s="114"/>
      <c r="AH204" s="114"/>
      <c r="AI204" s="114"/>
      <c r="AJ204" s="114"/>
      <c r="AK204" s="114"/>
      <c r="AL204" s="114"/>
      <c r="AM204" s="114"/>
      <c r="AN204" s="114"/>
      <c r="AO204" s="114"/>
      <c r="AP204" s="114"/>
      <c r="AQ204" s="114"/>
      <c r="AR204" s="115"/>
      <c r="AW204" s="33">
        <v>0</v>
      </c>
      <c r="AY204">
        <v>0</v>
      </c>
    </row>
    <row r="205" spans="3:51" x14ac:dyDescent="0.25">
      <c r="C205" s="113"/>
      <c r="D205" s="114"/>
      <c r="E205" s="114"/>
      <c r="F205" s="114"/>
      <c r="G205" s="114"/>
      <c r="H205" s="114"/>
      <c r="I205" s="114"/>
      <c r="J205" s="114"/>
      <c r="K205" s="114"/>
      <c r="L205" s="114"/>
      <c r="M205" s="114"/>
      <c r="N205" s="114"/>
      <c r="O205" s="114"/>
      <c r="P205" s="114"/>
      <c r="Q205" s="114"/>
      <c r="R205" s="114"/>
      <c r="S205" s="114"/>
      <c r="T205" s="114"/>
      <c r="U205" s="114"/>
      <c r="V205" s="114"/>
      <c r="W205" s="114"/>
      <c r="X205" s="114"/>
      <c r="Y205" s="114"/>
      <c r="Z205" s="114"/>
      <c r="AA205" s="114"/>
      <c r="AB205" s="114"/>
      <c r="AC205" s="114"/>
      <c r="AD205" s="114"/>
      <c r="AE205" s="114"/>
      <c r="AF205" s="114"/>
      <c r="AG205" s="114"/>
      <c r="AH205" s="114"/>
      <c r="AI205" s="114"/>
      <c r="AJ205" s="114"/>
      <c r="AK205" s="114"/>
      <c r="AL205" s="114"/>
      <c r="AM205" s="114"/>
      <c r="AN205" s="114"/>
      <c r="AO205" s="114"/>
      <c r="AP205" s="114"/>
      <c r="AQ205" s="114"/>
      <c r="AR205" s="115"/>
      <c r="AW205" s="33">
        <v>0</v>
      </c>
      <c r="AY205">
        <v>0</v>
      </c>
    </row>
    <row r="206" spans="3:51" x14ac:dyDescent="0.25">
      <c r="C206" s="113"/>
      <c r="D206" s="114"/>
      <c r="E206" s="114"/>
      <c r="F206" s="114"/>
      <c r="G206" s="114"/>
      <c r="H206" s="114"/>
      <c r="I206" s="114"/>
      <c r="J206" s="114"/>
      <c r="K206" s="114"/>
      <c r="L206" s="114"/>
      <c r="M206" s="114"/>
      <c r="N206" s="114"/>
      <c r="O206" s="114"/>
      <c r="P206" s="114"/>
      <c r="Q206" s="114"/>
      <c r="R206" s="114"/>
      <c r="S206" s="114"/>
      <c r="T206" s="114"/>
      <c r="U206" s="114"/>
      <c r="V206" s="114"/>
      <c r="W206" s="114"/>
      <c r="X206" s="114"/>
      <c r="Y206" s="114"/>
      <c r="Z206" s="114"/>
      <c r="AA206" s="114"/>
      <c r="AB206" s="114"/>
      <c r="AC206" s="114"/>
      <c r="AD206" s="114"/>
      <c r="AE206" s="114"/>
      <c r="AF206" s="114"/>
      <c r="AG206" s="114"/>
      <c r="AH206" s="114"/>
      <c r="AI206" s="114"/>
      <c r="AJ206" s="114"/>
      <c r="AK206" s="114"/>
      <c r="AL206" s="114"/>
      <c r="AM206" s="114"/>
      <c r="AN206" s="114"/>
      <c r="AO206" s="114"/>
      <c r="AP206" s="114"/>
      <c r="AQ206" s="114"/>
      <c r="AR206" s="115"/>
      <c r="AW206" s="33">
        <v>0</v>
      </c>
      <c r="AY206">
        <v>0</v>
      </c>
    </row>
    <row r="207" spans="3:51" x14ac:dyDescent="0.25">
      <c r="C207" s="116"/>
      <c r="D207" s="117"/>
      <c r="E207" s="117"/>
      <c r="F207" s="117"/>
      <c r="G207" s="117"/>
      <c r="H207" s="117"/>
      <c r="I207" s="117"/>
      <c r="J207" s="117"/>
      <c r="K207" s="117"/>
      <c r="L207" s="117"/>
      <c r="M207" s="117"/>
      <c r="N207" s="117"/>
      <c r="O207" s="117"/>
      <c r="P207" s="117"/>
      <c r="Q207" s="117"/>
      <c r="R207" s="117"/>
      <c r="S207" s="117"/>
      <c r="T207" s="117"/>
      <c r="U207" s="117"/>
      <c r="V207" s="117"/>
      <c r="W207" s="117"/>
      <c r="X207" s="117"/>
      <c r="Y207" s="117"/>
      <c r="Z207" s="117"/>
      <c r="AA207" s="117"/>
      <c r="AB207" s="117"/>
      <c r="AC207" s="117"/>
      <c r="AD207" s="117"/>
      <c r="AE207" s="117"/>
      <c r="AF207" s="117"/>
      <c r="AG207" s="117"/>
      <c r="AH207" s="117"/>
      <c r="AI207" s="117"/>
      <c r="AJ207" s="117"/>
      <c r="AK207" s="117"/>
      <c r="AL207" s="117"/>
      <c r="AM207" s="117"/>
      <c r="AN207" s="117"/>
      <c r="AO207" s="117"/>
      <c r="AP207" s="117"/>
      <c r="AQ207" s="117"/>
      <c r="AR207" s="118"/>
      <c r="AW207" s="33">
        <v>0</v>
      </c>
      <c r="AY207">
        <v>0</v>
      </c>
    </row>
    <row r="208" spans="3:51" x14ac:dyDescent="0.25">
      <c r="AW208" s="33">
        <v>0</v>
      </c>
      <c r="AY208">
        <v>0</v>
      </c>
    </row>
    <row r="209" spans="49:49" x14ac:dyDescent="0.25">
      <c r="AW209" s="33">
        <v>0</v>
      </c>
    </row>
    <row r="210" spans="49:49" x14ac:dyDescent="0.25">
      <c r="AW210" s="33">
        <v>0</v>
      </c>
    </row>
    <row r="211" spans="49:49" x14ac:dyDescent="0.25">
      <c r="AW211" s="33">
        <v>0</v>
      </c>
    </row>
    <row r="212" spans="49:49" x14ac:dyDescent="0.25">
      <c r="AW212" s="33">
        <v>0</v>
      </c>
    </row>
    <row r="213" spans="49:49" x14ac:dyDescent="0.25">
      <c r="AW213" s="33">
        <v>0</v>
      </c>
    </row>
    <row r="214" spans="49:49" x14ac:dyDescent="0.25">
      <c r="AW214" s="33">
        <v>0</v>
      </c>
    </row>
    <row r="215" spans="49:49" x14ac:dyDescent="0.25">
      <c r="AW215" s="33">
        <v>0</v>
      </c>
    </row>
    <row r="216" spans="49:49" x14ac:dyDescent="0.25">
      <c r="AW216" s="33">
        <v>0</v>
      </c>
    </row>
    <row r="217" spans="49:49" x14ac:dyDescent="0.25">
      <c r="AW217" s="33">
        <v>0</v>
      </c>
    </row>
    <row r="218" spans="49:49" x14ac:dyDescent="0.25">
      <c r="AW218" s="33">
        <v>0</v>
      </c>
    </row>
    <row r="219" spans="49:49" x14ac:dyDescent="0.25">
      <c r="AW219" s="33">
        <v>0</v>
      </c>
    </row>
    <row r="220" spans="49:49" x14ac:dyDescent="0.25">
      <c r="AW220" s="33">
        <v>0</v>
      </c>
    </row>
    <row r="221" spans="49:49" x14ac:dyDescent="0.25">
      <c r="AW221" s="33">
        <v>0</v>
      </c>
    </row>
    <row r="222" spans="49:49" x14ac:dyDescent="0.25">
      <c r="AW222" s="33">
        <v>0</v>
      </c>
    </row>
    <row r="223" spans="49:49" x14ac:dyDescent="0.25">
      <c r="AW223" s="33">
        <v>0</v>
      </c>
    </row>
    <row r="224" spans="49:49" x14ac:dyDescent="0.25">
      <c r="AW224" s="33">
        <v>0</v>
      </c>
    </row>
    <row r="225" spans="49:49" x14ac:dyDescent="0.25">
      <c r="AW225" s="33">
        <v>0</v>
      </c>
    </row>
    <row r="226" spans="49:49" x14ac:dyDescent="0.25">
      <c r="AW226" s="33">
        <v>0</v>
      </c>
    </row>
    <row r="227" spans="49:49" x14ac:dyDescent="0.25">
      <c r="AW227" s="33">
        <v>0</v>
      </c>
    </row>
    <row r="228" spans="49:49" x14ac:dyDescent="0.25">
      <c r="AW228" s="33">
        <v>0</v>
      </c>
    </row>
    <row r="229" spans="49:49" x14ac:dyDescent="0.25">
      <c r="AW229" s="33">
        <v>0</v>
      </c>
    </row>
    <row r="230" spans="49:49" x14ac:dyDescent="0.25">
      <c r="AW230" s="33">
        <v>0</v>
      </c>
    </row>
    <row r="231" spans="49:49" x14ac:dyDescent="0.25">
      <c r="AW231" s="33">
        <v>0</v>
      </c>
    </row>
    <row r="232" spans="49:49" x14ac:dyDescent="0.25">
      <c r="AW232" s="33">
        <v>0</v>
      </c>
    </row>
    <row r="233" spans="49:49" x14ac:dyDescent="0.25">
      <c r="AW233" s="33">
        <v>0</v>
      </c>
    </row>
    <row r="234" spans="49:49" x14ac:dyDescent="0.25">
      <c r="AW234" s="33">
        <v>0</v>
      </c>
    </row>
    <row r="235" spans="49:49" x14ac:dyDescent="0.25">
      <c r="AW235" s="33">
        <v>0</v>
      </c>
    </row>
    <row r="236" spans="49:49" x14ac:dyDescent="0.25">
      <c r="AW236" s="33">
        <v>0</v>
      </c>
    </row>
    <row r="237" spans="49:49" x14ac:dyDescent="0.25">
      <c r="AW237" s="33">
        <v>0</v>
      </c>
    </row>
    <row r="238" spans="49:49" x14ac:dyDescent="0.25">
      <c r="AW238" s="33">
        <v>0</v>
      </c>
    </row>
    <row r="239" spans="49:49" x14ac:dyDescent="0.25">
      <c r="AW239" s="33">
        <v>0</v>
      </c>
    </row>
    <row r="240" spans="49:49" x14ac:dyDescent="0.25">
      <c r="AW240" s="33">
        <v>0</v>
      </c>
    </row>
    <row r="241" spans="49:49" x14ac:dyDescent="0.25">
      <c r="AW241" s="33">
        <v>0</v>
      </c>
    </row>
    <row r="242" spans="49:49" x14ac:dyDescent="0.25">
      <c r="AW242" s="33">
        <v>0</v>
      </c>
    </row>
    <row r="243" spans="49:49" x14ac:dyDescent="0.25">
      <c r="AW243" s="33">
        <v>0</v>
      </c>
    </row>
    <row r="244" spans="49:49" x14ac:dyDescent="0.25">
      <c r="AW244" s="33">
        <v>0</v>
      </c>
    </row>
    <row r="245" spans="49:49" x14ac:dyDescent="0.25">
      <c r="AW245" s="33">
        <v>0</v>
      </c>
    </row>
    <row r="246" spans="49:49" x14ac:dyDescent="0.25">
      <c r="AW246" s="33">
        <v>0</v>
      </c>
    </row>
    <row r="247" spans="49:49" x14ac:dyDescent="0.25">
      <c r="AW247" s="33">
        <v>0</v>
      </c>
    </row>
    <row r="248" spans="49:49" x14ac:dyDescent="0.25">
      <c r="AW248" s="33">
        <v>0</v>
      </c>
    </row>
    <row r="249" spans="49:49" x14ac:dyDescent="0.25">
      <c r="AW249" s="33">
        <v>0</v>
      </c>
    </row>
    <row r="250" spans="49:49" x14ac:dyDescent="0.25">
      <c r="AW250" s="33">
        <v>0</v>
      </c>
    </row>
    <row r="251" spans="49:49" x14ac:dyDescent="0.25">
      <c r="AW251" s="33">
        <v>0</v>
      </c>
    </row>
    <row r="252" spans="49:49" x14ac:dyDescent="0.25">
      <c r="AW252" s="33">
        <v>0</v>
      </c>
    </row>
    <row r="253" spans="49:49" x14ac:dyDescent="0.25">
      <c r="AW253" s="33">
        <v>0</v>
      </c>
    </row>
    <row r="254" spans="49:49" x14ac:dyDescent="0.25">
      <c r="AW254" s="33">
        <v>0</v>
      </c>
    </row>
    <row r="255" spans="49:49" x14ac:dyDescent="0.25">
      <c r="AW255" s="33">
        <v>0</v>
      </c>
    </row>
    <row r="256" spans="49:49" x14ac:dyDescent="0.25">
      <c r="AW256" s="33">
        <v>0</v>
      </c>
    </row>
    <row r="257" spans="49:49" x14ac:dyDescent="0.25">
      <c r="AW257" s="33">
        <v>0</v>
      </c>
    </row>
    <row r="258" spans="49:49" x14ac:dyDescent="0.25">
      <c r="AW258" s="33">
        <v>0</v>
      </c>
    </row>
    <row r="259" spans="49:49" x14ac:dyDescent="0.25">
      <c r="AW259" s="33">
        <v>0</v>
      </c>
    </row>
    <row r="260" spans="49:49" x14ac:dyDescent="0.25">
      <c r="AW260" s="33">
        <v>0</v>
      </c>
    </row>
    <row r="261" spans="49:49" x14ac:dyDescent="0.25">
      <c r="AW261" s="33">
        <v>0</v>
      </c>
    </row>
    <row r="262" spans="49:49" x14ac:dyDescent="0.25">
      <c r="AW262" s="33">
        <v>0</v>
      </c>
    </row>
    <row r="263" spans="49:49" x14ac:dyDescent="0.25">
      <c r="AW263" s="33">
        <v>0</v>
      </c>
    </row>
    <row r="264" spans="49:49" x14ac:dyDescent="0.25">
      <c r="AW264" s="33">
        <v>0</v>
      </c>
    </row>
    <row r="265" spans="49:49" x14ac:dyDescent="0.25">
      <c r="AW265" s="33">
        <v>0</v>
      </c>
    </row>
    <row r="266" spans="49:49" x14ac:dyDescent="0.25">
      <c r="AW266" s="33">
        <v>0</v>
      </c>
    </row>
    <row r="267" spans="49:49" x14ac:dyDescent="0.25">
      <c r="AW267" s="33">
        <v>0</v>
      </c>
    </row>
    <row r="268" spans="49:49" x14ac:dyDescent="0.25">
      <c r="AW268" s="33">
        <v>0</v>
      </c>
    </row>
    <row r="269" spans="49:49" x14ac:dyDescent="0.25">
      <c r="AW269" s="33">
        <v>0</v>
      </c>
    </row>
    <row r="270" spans="49:49" x14ac:dyDescent="0.25">
      <c r="AW270" s="33">
        <v>0</v>
      </c>
    </row>
    <row r="271" spans="49:49" x14ac:dyDescent="0.25">
      <c r="AW271" s="33">
        <v>0</v>
      </c>
    </row>
    <row r="272" spans="49:49" x14ac:dyDescent="0.25">
      <c r="AW272" s="33">
        <v>0</v>
      </c>
    </row>
    <row r="273" spans="49:49" x14ac:dyDescent="0.25">
      <c r="AW273" s="33">
        <v>0</v>
      </c>
    </row>
    <row r="274" spans="49:49" x14ac:dyDescent="0.25">
      <c r="AW274" s="33">
        <v>0</v>
      </c>
    </row>
    <row r="275" spans="49:49" x14ac:dyDescent="0.25">
      <c r="AW275" s="33">
        <v>0</v>
      </c>
    </row>
    <row r="276" spans="49:49" x14ac:dyDescent="0.25">
      <c r="AW276" s="33">
        <v>0</v>
      </c>
    </row>
    <row r="277" spans="49:49" x14ac:dyDescent="0.25">
      <c r="AW277" s="33">
        <v>0</v>
      </c>
    </row>
    <row r="278" spans="49:49" x14ac:dyDescent="0.25">
      <c r="AW278" s="33">
        <v>0</v>
      </c>
    </row>
    <row r="279" spans="49:49" x14ac:dyDescent="0.25">
      <c r="AW279" s="33">
        <v>0</v>
      </c>
    </row>
    <row r="280" spans="49:49" x14ac:dyDescent="0.25">
      <c r="AW280" s="33">
        <v>0</v>
      </c>
    </row>
    <row r="281" spans="49:49" x14ac:dyDescent="0.25">
      <c r="AW281" s="33">
        <v>0</v>
      </c>
    </row>
    <row r="282" spans="49:49" x14ac:dyDescent="0.25">
      <c r="AW282" s="33">
        <v>0</v>
      </c>
    </row>
    <row r="283" spans="49:49" x14ac:dyDescent="0.25">
      <c r="AW283" s="33">
        <v>0</v>
      </c>
    </row>
    <row r="284" spans="49:49" x14ac:dyDescent="0.25">
      <c r="AW284" s="33">
        <v>0</v>
      </c>
    </row>
    <row r="285" spans="49:49" x14ac:dyDescent="0.25">
      <c r="AW285" s="33">
        <v>0</v>
      </c>
    </row>
    <row r="286" spans="49:49" x14ac:dyDescent="0.25">
      <c r="AW286" s="33">
        <v>0</v>
      </c>
    </row>
    <row r="287" spans="49:49" x14ac:dyDescent="0.25">
      <c r="AW287" s="33">
        <v>0</v>
      </c>
    </row>
    <row r="288" spans="49:49" x14ac:dyDescent="0.25">
      <c r="AW288" s="33">
        <v>0</v>
      </c>
    </row>
    <row r="289" spans="49:49" x14ac:dyDescent="0.25">
      <c r="AW289" s="33">
        <v>0</v>
      </c>
    </row>
    <row r="290" spans="49:49" x14ac:dyDescent="0.25">
      <c r="AW290" s="33">
        <v>0</v>
      </c>
    </row>
    <row r="291" spans="49:49" x14ac:dyDescent="0.25">
      <c r="AW291" s="33">
        <v>0</v>
      </c>
    </row>
    <row r="292" spans="49:49" x14ac:dyDescent="0.25">
      <c r="AW292" s="33">
        <v>0</v>
      </c>
    </row>
    <row r="293" spans="49:49" x14ac:dyDescent="0.25">
      <c r="AW293" s="33">
        <v>0</v>
      </c>
    </row>
    <row r="294" spans="49:49" x14ac:dyDescent="0.25">
      <c r="AW294" s="33">
        <v>0</v>
      </c>
    </row>
    <row r="295" spans="49:49" x14ac:dyDescent="0.25">
      <c r="AW295" s="33">
        <v>0</v>
      </c>
    </row>
    <row r="296" spans="49:49" x14ac:dyDescent="0.25">
      <c r="AW296" s="33">
        <v>0</v>
      </c>
    </row>
    <row r="297" spans="49:49" x14ac:dyDescent="0.25">
      <c r="AW297" s="33">
        <v>0</v>
      </c>
    </row>
    <row r="298" spans="49:49" x14ac:dyDescent="0.25">
      <c r="AW298" s="33">
        <v>0</v>
      </c>
    </row>
    <row r="299" spans="49:49" x14ac:dyDescent="0.25">
      <c r="AW299" s="33">
        <v>0</v>
      </c>
    </row>
    <row r="300" spans="49:49" x14ac:dyDescent="0.25">
      <c r="AW300" s="33">
        <v>0</v>
      </c>
    </row>
    <row r="301" spans="49:49" x14ac:dyDescent="0.25">
      <c r="AW301" s="33">
        <v>0</v>
      </c>
    </row>
    <row r="302" spans="49:49" x14ac:dyDescent="0.25">
      <c r="AW302" s="33">
        <v>0</v>
      </c>
    </row>
    <row r="303" spans="49:49" x14ac:dyDescent="0.25">
      <c r="AW303" s="33">
        <v>0</v>
      </c>
    </row>
    <row r="304" spans="49:49" x14ac:dyDescent="0.25">
      <c r="AW304" s="33">
        <v>0</v>
      </c>
    </row>
    <row r="305" spans="49:49" x14ac:dyDescent="0.25">
      <c r="AW305" s="33">
        <v>0</v>
      </c>
    </row>
    <row r="306" spans="49:49" x14ac:dyDescent="0.25">
      <c r="AW306" s="33">
        <v>0</v>
      </c>
    </row>
    <row r="307" spans="49:49" x14ac:dyDescent="0.25">
      <c r="AW307" s="33">
        <v>0</v>
      </c>
    </row>
    <row r="308" spans="49:49" x14ac:dyDescent="0.25">
      <c r="AW308" s="33">
        <v>0</v>
      </c>
    </row>
    <row r="309" spans="49:49" x14ac:dyDescent="0.25">
      <c r="AW309" s="33">
        <v>0</v>
      </c>
    </row>
    <row r="310" spans="49:49" x14ac:dyDescent="0.25">
      <c r="AW310" s="33">
        <v>0</v>
      </c>
    </row>
    <row r="311" spans="49:49" x14ac:dyDescent="0.25">
      <c r="AW311" s="33">
        <v>0</v>
      </c>
    </row>
    <row r="312" spans="49:49" x14ac:dyDescent="0.25">
      <c r="AW312" s="33">
        <v>0</v>
      </c>
    </row>
    <row r="313" spans="49:49" x14ac:dyDescent="0.25">
      <c r="AW313" s="33">
        <v>0</v>
      </c>
    </row>
    <row r="314" spans="49:49" x14ac:dyDescent="0.25">
      <c r="AW314" s="33">
        <v>0</v>
      </c>
    </row>
    <row r="315" spans="49:49" x14ac:dyDescent="0.25">
      <c r="AW315" s="33">
        <v>0</v>
      </c>
    </row>
    <row r="316" spans="49:49" x14ac:dyDescent="0.25">
      <c r="AW316" s="33">
        <v>0</v>
      </c>
    </row>
    <row r="317" spans="49:49" x14ac:dyDescent="0.25">
      <c r="AW317" s="33">
        <v>0</v>
      </c>
    </row>
    <row r="318" spans="49:49" x14ac:dyDescent="0.25">
      <c r="AW318" s="33">
        <v>0</v>
      </c>
    </row>
    <row r="319" spans="49:49" x14ac:dyDescent="0.25">
      <c r="AW319" s="33">
        <v>0</v>
      </c>
    </row>
    <row r="320" spans="49:49" x14ac:dyDescent="0.25">
      <c r="AW320" s="33">
        <v>0</v>
      </c>
    </row>
    <row r="321" spans="49:49" x14ac:dyDescent="0.25">
      <c r="AW321" s="33">
        <v>0</v>
      </c>
    </row>
    <row r="322" spans="49:49" x14ac:dyDescent="0.25">
      <c r="AW322" s="33">
        <v>0</v>
      </c>
    </row>
    <row r="323" spans="49:49" x14ac:dyDescent="0.25">
      <c r="AW323" s="33">
        <v>0</v>
      </c>
    </row>
    <row r="324" spans="49:49" x14ac:dyDescent="0.25">
      <c r="AW324" s="33">
        <v>0</v>
      </c>
    </row>
    <row r="325" spans="49:49" x14ac:dyDescent="0.25">
      <c r="AW325" s="33">
        <v>0</v>
      </c>
    </row>
    <row r="326" spans="49:49" x14ac:dyDescent="0.25">
      <c r="AW326" s="33">
        <v>0</v>
      </c>
    </row>
    <row r="327" spans="49:49" x14ac:dyDescent="0.25">
      <c r="AW327" s="33">
        <v>0</v>
      </c>
    </row>
    <row r="328" spans="49:49" x14ac:dyDescent="0.25">
      <c r="AW328" s="33">
        <v>0</v>
      </c>
    </row>
    <row r="329" spans="49:49" x14ac:dyDescent="0.25">
      <c r="AW329" s="33">
        <v>0</v>
      </c>
    </row>
    <row r="330" spans="49:49" x14ac:dyDescent="0.25">
      <c r="AW330" s="33">
        <v>0</v>
      </c>
    </row>
    <row r="331" spans="49:49" x14ac:dyDescent="0.25">
      <c r="AW331" s="33">
        <v>0</v>
      </c>
    </row>
    <row r="332" spans="49:49" x14ac:dyDescent="0.25">
      <c r="AW332" s="33">
        <v>0</v>
      </c>
    </row>
    <row r="333" spans="49:49" x14ac:dyDescent="0.25">
      <c r="AW333" s="33">
        <v>0</v>
      </c>
    </row>
    <row r="334" spans="49:49" x14ac:dyDescent="0.25">
      <c r="AW334" s="33">
        <v>0</v>
      </c>
    </row>
    <row r="335" spans="49:49" x14ac:dyDescent="0.25">
      <c r="AW335" s="33">
        <v>0</v>
      </c>
    </row>
    <row r="336" spans="49:49" x14ac:dyDescent="0.25">
      <c r="AW336" s="33">
        <v>0</v>
      </c>
    </row>
    <row r="337" spans="49:49" x14ac:dyDescent="0.25">
      <c r="AW337" s="33">
        <v>0</v>
      </c>
    </row>
    <row r="338" spans="49:49" x14ac:dyDescent="0.25">
      <c r="AW338" s="33">
        <v>0</v>
      </c>
    </row>
    <row r="339" spans="49:49" x14ac:dyDescent="0.25">
      <c r="AW339" s="33">
        <v>0</v>
      </c>
    </row>
    <row r="340" spans="49:49" x14ac:dyDescent="0.25">
      <c r="AW340" s="33">
        <v>0</v>
      </c>
    </row>
    <row r="341" spans="49:49" x14ac:dyDescent="0.25">
      <c r="AW341" s="33">
        <v>0</v>
      </c>
    </row>
    <row r="342" spans="49:49" x14ac:dyDescent="0.25">
      <c r="AW342" s="33">
        <v>0</v>
      </c>
    </row>
    <row r="343" spans="49:49" x14ac:dyDescent="0.25">
      <c r="AW343" s="33">
        <v>0</v>
      </c>
    </row>
    <row r="344" spans="49:49" x14ac:dyDescent="0.25">
      <c r="AW344" s="33">
        <v>0</v>
      </c>
    </row>
    <row r="345" spans="49:49" x14ac:dyDescent="0.25">
      <c r="AW345" s="33">
        <v>0</v>
      </c>
    </row>
    <row r="346" spans="49:49" x14ac:dyDescent="0.25">
      <c r="AW346" s="33">
        <v>0</v>
      </c>
    </row>
    <row r="347" spans="49:49" x14ac:dyDescent="0.25">
      <c r="AW347" s="33">
        <v>0</v>
      </c>
    </row>
    <row r="348" spans="49:49" x14ac:dyDescent="0.25">
      <c r="AW348" s="33">
        <v>0</v>
      </c>
    </row>
    <row r="349" spans="49:49" x14ac:dyDescent="0.25">
      <c r="AW349" s="33">
        <v>0</v>
      </c>
    </row>
    <row r="350" spans="49:49" x14ac:dyDescent="0.25">
      <c r="AW350" s="33">
        <v>0</v>
      </c>
    </row>
    <row r="351" spans="49:49" x14ac:dyDescent="0.25">
      <c r="AW351" s="33">
        <v>0</v>
      </c>
    </row>
    <row r="352" spans="49:49" x14ac:dyDescent="0.25">
      <c r="AW352" s="33">
        <v>0</v>
      </c>
    </row>
    <row r="353" spans="49:49" x14ac:dyDescent="0.25">
      <c r="AW353" s="33">
        <v>0</v>
      </c>
    </row>
    <row r="354" spans="49:49" x14ac:dyDescent="0.25">
      <c r="AW354" s="33">
        <v>0</v>
      </c>
    </row>
    <row r="355" spans="49:49" x14ac:dyDescent="0.25">
      <c r="AW355" s="33">
        <v>0</v>
      </c>
    </row>
    <row r="356" spans="49:49" x14ac:dyDescent="0.25">
      <c r="AW356" s="33">
        <v>0</v>
      </c>
    </row>
    <row r="357" spans="49:49" x14ac:dyDescent="0.25">
      <c r="AW357" s="33">
        <v>0</v>
      </c>
    </row>
    <row r="358" spans="49:49" x14ac:dyDescent="0.25">
      <c r="AW358" s="33">
        <v>0</v>
      </c>
    </row>
    <row r="359" spans="49:49" x14ac:dyDescent="0.25">
      <c r="AW359" s="33">
        <v>0</v>
      </c>
    </row>
    <row r="360" spans="49:49" x14ac:dyDescent="0.25">
      <c r="AW360" s="33">
        <v>0</v>
      </c>
    </row>
    <row r="361" spans="49:49" x14ac:dyDescent="0.25">
      <c r="AW361" s="33">
        <v>0</v>
      </c>
    </row>
    <row r="362" spans="49:49" x14ac:dyDescent="0.25">
      <c r="AW362" s="33">
        <v>0</v>
      </c>
    </row>
    <row r="363" spans="49:49" x14ac:dyDescent="0.25">
      <c r="AW363" s="33">
        <v>0</v>
      </c>
    </row>
    <row r="364" spans="49:49" x14ac:dyDescent="0.25">
      <c r="AW364" s="33">
        <v>0</v>
      </c>
    </row>
    <row r="365" spans="49:49" x14ac:dyDescent="0.25">
      <c r="AW365" s="33">
        <v>0</v>
      </c>
    </row>
    <row r="366" spans="49:49" x14ac:dyDescent="0.25">
      <c r="AW366" s="33">
        <v>0</v>
      </c>
    </row>
    <row r="367" spans="49:49" x14ac:dyDescent="0.25">
      <c r="AW367" s="33">
        <v>0</v>
      </c>
    </row>
    <row r="368" spans="49:49" x14ac:dyDescent="0.25">
      <c r="AW368" s="33">
        <v>0</v>
      </c>
    </row>
    <row r="369" spans="49:49" x14ac:dyDescent="0.25">
      <c r="AW369" s="33">
        <v>0</v>
      </c>
    </row>
    <row r="370" spans="49:49" x14ac:dyDescent="0.25">
      <c r="AW370" s="33">
        <v>0</v>
      </c>
    </row>
    <row r="371" spans="49:49" x14ac:dyDescent="0.25">
      <c r="AW371" s="33">
        <v>0</v>
      </c>
    </row>
    <row r="372" spans="49:49" x14ac:dyDescent="0.25">
      <c r="AW372" s="33">
        <v>0</v>
      </c>
    </row>
    <row r="373" spans="49:49" x14ac:dyDescent="0.25">
      <c r="AW373" s="33">
        <v>0</v>
      </c>
    </row>
    <row r="374" spans="49:49" x14ac:dyDescent="0.25">
      <c r="AW374" s="33">
        <v>0</v>
      </c>
    </row>
    <row r="375" spans="49:49" x14ac:dyDescent="0.25">
      <c r="AW375" s="33">
        <v>0</v>
      </c>
    </row>
    <row r="376" spans="49:49" x14ac:dyDescent="0.25">
      <c r="AW376" s="33">
        <v>0</v>
      </c>
    </row>
    <row r="377" spans="49:49" x14ac:dyDescent="0.25">
      <c r="AW377" s="33">
        <v>0</v>
      </c>
    </row>
    <row r="378" spans="49:49" x14ac:dyDescent="0.25">
      <c r="AW378" s="33">
        <v>0</v>
      </c>
    </row>
    <row r="379" spans="49:49" x14ac:dyDescent="0.25">
      <c r="AW379" s="33">
        <v>0</v>
      </c>
    </row>
    <row r="380" spans="49:49" x14ac:dyDescent="0.25">
      <c r="AW380" s="33">
        <v>0</v>
      </c>
    </row>
    <row r="381" spans="49:49" x14ac:dyDescent="0.25">
      <c r="AW381" s="33">
        <v>0</v>
      </c>
    </row>
    <row r="382" spans="49:49" x14ac:dyDescent="0.25">
      <c r="AW382" s="33">
        <v>0</v>
      </c>
    </row>
    <row r="383" spans="49:49" x14ac:dyDescent="0.25">
      <c r="AW383" s="33">
        <v>0</v>
      </c>
    </row>
    <row r="384" spans="49:49" x14ac:dyDescent="0.25">
      <c r="AW384" s="33">
        <v>0</v>
      </c>
    </row>
    <row r="385" spans="49:49" x14ac:dyDescent="0.25">
      <c r="AW385" s="33">
        <v>0</v>
      </c>
    </row>
    <row r="386" spans="49:49" x14ac:dyDescent="0.25">
      <c r="AW386" s="33">
        <v>0</v>
      </c>
    </row>
    <row r="387" spans="49:49" x14ac:dyDescent="0.25">
      <c r="AW387" s="33">
        <v>0</v>
      </c>
    </row>
    <row r="388" spans="49:49" x14ac:dyDescent="0.25">
      <c r="AW388" s="33">
        <v>0</v>
      </c>
    </row>
    <row r="389" spans="49:49" x14ac:dyDescent="0.25">
      <c r="AW389" s="33">
        <v>0</v>
      </c>
    </row>
    <row r="390" spans="49:49" x14ac:dyDescent="0.25">
      <c r="AW390" s="33">
        <v>0</v>
      </c>
    </row>
    <row r="391" spans="49:49" x14ac:dyDescent="0.25">
      <c r="AW391" s="33">
        <v>0</v>
      </c>
    </row>
    <row r="392" spans="49:49" x14ac:dyDescent="0.25">
      <c r="AW392" s="33">
        <v>0</v>
      </c>
    </row>
    <row r="393" spans="49:49" x14ac:dyDescent="0.25">
      <c r="AW393" s="33">
        <v>0</v>
      </c>
    </row>
    <row r="394" spans="49:49" x14ac:dyDescent="0.25">
      <c r="AW394" s="33">
        <v>0</v>
      </c>
    </row>
    <row r="395" spans="49:49" x14ac:dyDescent="0.25">
      <c r="AW395" s="33">
        <v>0</v>
      </c>
    </row>
    <row r="396" spans="49:49" x14ac:dyDescent="0.25">
      <c r="AW396" s="33">
        <v>0</v>
      </c>
    </row>
    <row r="397" spans="49:49" x14ac:dyDescent="0.25">
      <c r="AW397" s="33">
        <v>0</v>
      </c>
    </row>
    <row r="398" spans="49:49" x14ac:dyDescent="0.25">
      <c r="AW398" s="33">
        <v>0</v>
      </c>
    </row>
    <row r="399" spans="49:49" x14ac:dyDescent="0.25">
      <c r="AW399" s="33">
        <v>0</v>
      </c>
    </row>
    <row r="400" spans="49:49" x14ac:dyDescent="0.25">
      <c r="AW400" s="33">
        <v>0</v>
      </c>
    </row>
    <row r="401" spans="49:49" x14ac:dyDescent="0.25">
      <c r="AW401" s="33">
        <v>0</v>
      </c>
    </row>
    <row r="402" spans="49:49" x14ac:dyDescent="0.25">
      <c r="AW402" s="33">
        <v>0</v>
      </c>
    </row>
    <row r="403" spans="49:49" x14ac:dyDescent="0.25">
      <c r="AW403" s="33">
        <v>0</v>
      </c>
    </row>
    <row r="404" spans="49:49" x14ac:dyDescent="0.25">
      <c r="AW404" s="33">
        <v>0</v>
      </c>
    </row>
    <row r="405" spans="49:49" x14ac:dyDescent="0.25">
      <c r="AW405" s="33">
        <v>0</v>
      </c>
    </row>
    <row r="406" spans="49:49" x14ac:dyDescent="0.25">
      <c r="AW406" s="33">
        <v>0</v>
      </c>
    </row>
    <row r="407" spans="49:49" x14ac:dyDescent="0.25">
      <c r="AW407" s="33">
        <v>0</v>
      </c>
    </row>
    <row r="408" spans="49:49" x14ac:dyDescent="0.25">
      <c r="AW408" s="33">
        <v>0</v>
      </c>
    </row>
    <row r="409" spans="49:49" x14ac:dyDescent="0.25">
      <c r="AW409" s="33">
        <v>0</v>
      </c>
    </row>
    <row r="410" spans="49:49" x14ac:dyDescent="0.25">
      <c r="AW410" s="33">
        <v>0</v>
      </c>
    </row>
    <row r="411" spans="49:49" x14ac:dyDescent="0.25">
      <c r="AW411" s="33">
        <v>0</v>
      </c>
    </row>
    <row r="412" spans="49:49" x14ac:dyDescent="0.25">
      <c r="AW412" s="33">
        <v>0</v>
      </c>
    </row>
    <row r="413" spans="49:49" x14ac:dyDescent="0.25">
      <c r="AW413" s="33">
        <v>0</v>
      </c>
    </row>
    <row r="414" spans="49:49" x14ac:dyDescent="0.25">
      <c r="AW414" s="33">
        <v>0</v>
      </c>
    </row>
    <row r="415" spans="49:49" x14ac:dyDescent="0.25">
      <c r="AW415" s="33">
        <v>0</v>
      </c>
    </row>
    <row r="416" spans="49:49" x14ac:dyDescent="0.25">
      <c r="AW416" s="33">
        <v>0</v>
      </c>
    </row>
    <row r="417" spans="49:49" x14ac:dyDescent="0.25">
      <c r="AW417" s="33">
        <v>0</v>
      </c>
    </row>
    <row r="418" spans="49:49" x14ac:dyDescent="0.25">
      <c r="AW418" s="33">
        <v>0</v>
      </c>
    </row>
    <row r="419" spans="49:49" x14ac:dyDescent="0.25">
      <c r="AW419" s="33">
        <v>0</v>
      </c>
    </row>
    <row r="420" spans="49:49" x14ac:dyDescent="0.25">
      <c r="AW420" s="33">
        <v>0</v>
      </c>
    </row>
    <row r="421" spans="49:49" x14ac:dyDescent="0.25">
      <c r="AW421" s="33">
        <v>0</v>
      </c>
    </row>
    <row r="422" spans="49:49" x14ac:dyDescent="0.25">
      <c r="AW422" s="33">
        <v>0</v>
      </c>
    </row>
    <row r="423" spans="49:49" x14ac:dyDescent="0.25">
      <c r="AW423" s="33">
        <v>0</v>
      </c>
    </row>
    <row r="424" spans="49:49" x14ac:dyDescent="0.25">
      <c r="AW424" s="33">
        <v>0</v>
      </c>
    </row>
    <row r="425" spans="49:49" x14ac:dyDescent="0.25">
      <c r="AW425" s="33">
        <v>0</v>
      </c>
    </row>
    <row r="426" spans="49:49" x14ac:dyDescent="0.25">
      <c r="AW426" s="33">
        <v>0</v>
      </c>
    </row>
    <row r="427" spans="49:49" x14ac:dyDescent="0.25">
      <c r="AW427" s="33">
        <v>0</v>
      </c>
    </row>
    <row r="428" spans="49:49" x14ac:dyDescent="0.25">
      <c r="AW428" s="33">
        <v>0</v>
      </c>
    </row>
    <row r="429" spans="49:49" x14ac:dyDescent="0.25">
      <c r="AW429" s="33">
        <v>0</v>
      </c>
    </row>
    <row r="430" spans="49:49" x14ac:dyDescent="0.25">
      <c r="AW430" s="33">
        <v>0</v>
      </c>
    </row>
    <row r="431" spans="49:49" x14ac:dyDescent="0.25">
      <c r="AW431" s="33">
        <v>0</v>
      </c>
    </row>
    <row r="432" spans="49:49" x14ac:dyDescent="0.25">
      <c r="AW432" s="33">
        <v>0</v>
      </c>
    </row>
    <row r="433" spans="49:49" x14ac:dyDescent="0.25">
      <c r="AW433" s="33">
        <v>0</v>
      </c>
    </row>
    <row r="434" spans="49:49" x14ac:dyDescent="0.25">
      <c r="AW434" s="33">
        <v>0</v>
      </c>
    </row>
    <row r="435" spans="49:49" x14ac:dyDescent="0.25">
      <c r="AW435" s="33">
        <v>0</v>
      </c>
    </row>
    <row r="436" spans="49:49" x14ac:dyDescent="0.25">
      <c r="AW436" s="33">
        <v>0</v>
      </c>
    </row>
    <row r="437" spans="49:49" x14ac:dyDescent="0.25">
      <c r="AW437" s="33">
        <v>0</v>
      </c>
    </row>
    <row r="438" spans="49:49" x14ac:dyDescent="0.25">
      <c r="AW438" s="33">
        <v>0</v>
      </c>
    </row>
    <row r="439" spans="49:49" x14ac:dyDescent="0.25">
      <c r="AW439" s="33">
        <v>0</v>
      </c>
    </row>
    <row r="440" spans="49:49" x14ac:dyDescent="0.25">
      <c r="AW440" s="33">
        <v>0</v>
      </c>
    </row>
    <row r="441" spans="49:49" x14ac:dyDescent="0.25">
      <c r="AW441" s="33">
        <v>0</v>
      </c>
    </row>
    <row r="442" spans="49:49" x14ac:dyDescent="0.25">
      <c r="AW442" s="33">
        <v>0</v>
      </c>
    </row>
    <row r="443" spans="49:49" x14ac:dyDescent="0.25">
      <c r="AW443" s="33">
        <v>0</v>
      </c>
    </row>
    <row r="444" spans="49:49" x14ac:dyDescent="0.25">
      <c r="AW444" s="33">
        <v>0</v>
      </c>
    </row>
    <row r="445" spans="49:49" x14ac:dyDescent="0.25">
      <c r="AW445" s="33">
        <v>0</v>
      </c>
    </row>
    <row r="446" spans="49:49" x14ac:dyDescent="0.25">
      <c r="AW446" s="33">
        <v>0</v>
      </c>
    </row>
    <row r="447" spans="49:49" x14ac:dyDescent="0.25">
      <c r="AW447" s="33">
        <v>0</v>
      </c>
    </row>
    <row r="448" spans="49:49" x14ac:dyDescent="0.25">
      <c r="AW448" s="33">
        <v>0</v>
      </c>
    </row>
    <row r="449" spans="49:49" x14ac:dyDescent="0.25">
      <c r="AW449" s="33">
        <v>0</v>
      </c>
    </row>
    <row r="450" spans="49:49" x14ac:dyDescent="0.25">
      <c r="AW450" s="33">
        <v>0</v>
      </c>
    </row>
    <row r="451" spans="49:49" x14ac:dyDescent="0.25">
      <c r="AW451" s="33">
        <v>0</v>
      </c>
    </row>
    <row r="452" spans="49:49" x14ac:dyDescent="0.25">
      <c r="AW452" s="33">
        <v>0</v>
      </c>
    </row>
    <row r="453" spans="49:49" x14ac:dyDescent="0.25">
      <c r="AW453" s="33">
        <v>0</v>
      </c>
    </row>
    <row r="454" spans="49:49" x14ac:dyDescent="0.25">
      <c r="AW454" s="33">
        <v>0</v>
      </c>
    </row>
    <row r="455" spans="49:49" x14ac:dyDescent="0.25">
      <c r="AW455" s="33">
        <v>0</v>
      </c>
    </row>
    <row r="456" spans="49:49" x14ac:dyDescent="0.25">
      <c r="AW456" s="33">
        <v>0</v>
      </c>
    </row>
    <row r="457" spans="49:49" x14ac:dyDescent="0.25">
      <c r="AW457" s="33">
        <v>0</v>
      </c>
    </row>
    <row r="458" spans="49:49" x14ac:dyDescent="0.25">
      <c r="AW458" s="33">
        <v>0</v>
      </c>
    </row>
    <row r="459" spans="49:49" x14ac:dyDescent="0.25">
      <c r="AW459" s="33">
        <v>0</v>
      </c>
    </row>
    <row r="460" spans="49:49" x14ac:dyDescent="0.25">
      <c r="AW460" s="33">
        <v>0</v>
      </c>
    </row>
    <row r="461" spans="49:49" x14ac:dyDescent="0.25">
      <c r="AW461" s="33">
        <v>0</v>
      </c>
    </row>
    <row r="462" spans="49:49" x14ac:dyDescent="0.25">
      <c r="AW462" s="33">
        <v>0</v>
      </c>
    </row>
    <row r="463" spans="49:49" x14ac:dyDescent="0.25">
      <c r="AW463" s="33">
        <v>0</v>
      </c>
    </row>
    <row r="464" spans="49:49" x14ac:dyDescent="0.25">
      <c r="AW464" s="33">
        <v>0</v>
      </c>
    </row>
    <row r="465" spans="49:49" x14ac:dyDescent="0.25">
      <c r="AW465" s="33">
        <v>0</v>
      </c>
    </row>
    <row r="466" spans="49:49" x14ac:dyDescent="0.25">
      <c r="AW466" s="33">
        <v>0</v>
      </c>
    </row>
    <row r="467" spans="49:49" x14ac:dyDescent="0.25">
      <c r="AW467" s="33">
        <v>0</v>
      </c>
    </row>
    <row r="468" spans="49:49" x14ac:dyDescent="0.25">
      <c r="AW468" s="33">
        <v>0</v>
      </c>
    </row>
    <row r="469" spans="49:49" x14ac:dyDescent="0.25">
      <c r="AW469" s="33">
        <v>0</v>
      </c>
    </row>
    <row r="470" spans="49:49" x14ac:dyDescent="0.25">
      <c r="AW470" s="33">
        <v>0</v>
      </c>
    </row>
    <row r="471" spans="49:49" x14ac:dyDescent="0.25">
      <c r="AW471" s="33">
        <v>0</v>
      </c>
    </row>
    <row r="472" spans="49:49" x14ac:dyDescent="0.25">
      <c r="AW472" s="33">
        <v>0</v>
      </c>
    </row>
    <row r="473" spans="49:49" x14ac:dyDescent="0.25">
      <c r="AW473" s="33">
        <v>0</v>
      </c>
    </row>
    <row r="474" spans="49:49" x14ac:dyDescent="0.25">
      <c r="AW474" s="33">
        <v>0</v>
      </c>
    </row>
    <row r="475" spans="49:49" x14ac:dyDescent="0.25">
      <c r="AW475" s="33">
        <v>0</v>
      </c>
    </row>
    <row r="476" spans="49:49" x14ac:dyDescent="0.25">
      <c r="AW476" s="33">
        <v>0</v>
      </c>
    </row>
    <row r="477" spans="49:49" x14ac:dyDescent="0.25">
      <c r="AW477" s="33">
        <v>0</v>
      </c>
    </row>
    <row r="478" spans="49:49" x14ac:dyDescent="0.25">
      <c r="AW478" s="33">
        <v>0</v>
      </c>
    </row>
    <row r="479" spans="49:49" x14ac:dyDescent="0.25">
      <c r="AW479" s="33">
        <v>0</v>
      </c>
    </row>
    <row r="480" spans="49:49" x14ac:dyDescent="0.25">
      <c r="AW480" s="33">
        <v>0</v>
      </c>
    </row>
    <row r="481" spans="49:49" x14ac:dyDescent="0.25">
      <c r="AW481" s="33">
        <v>0</v>
      </c>
    </row>
    <row r="482" spans="49:49" x14ac:dyDescent="0.25">
      <c r="AW482" s="33">
        <v>0</v>
      </c>
    </row>
    <row r="483" spans="49:49" x14ac:dyDescent="0.25">
      <c r="AW483" s="33">
        <v>0</v>
      </c>
    </row>
    <row r="484" spans="49:49" x14ac:dyDescent="0.25">
      <c r="AW484" s="33">
        <v>0</v>
      </c>
    </row>
    <row r="485" spans="49:49" x14ac:dyDescent="0.25">
      <c r="AW485" s="33">
        <v>0</v>
      </c>
    </row>
    <row r="486" spans="49:49" x14ac:dyDescent="0.25">
      <c r="AW486" s="33">
        <v>0</v>
      </c>
    </row>
    <row r="487" spans="49:49" x14ac:dyDescent="0.25">
      <c r="AW487" s="33">
        <v>0</v>
      </c>
    </row>
    <row r="488" spans="49:49" x14ac:dyDescent="0.25">
      <c r="AW488" s="33">
        <v>0</v>
      </c>
    </row>
    <row r="489" spans="49:49" x14ac:dyDescent="0.25">
      <c r="AW489" s="33">
        <v>0</v>
      </c>
    </row>
    <row r="490" spans="49:49" x14ac:dyDescent="0.25">
      <c r="AW490" s="33">
        <v>0</v>
      </c>
    </row>
    <row r="491" spans="49:49" x14ac:dyDescent="0.25">
      <c r="AW491" s="33">
        <v>0</v>
      </c>
    </row>
    <row r="492" spans="49:49" x14ac:dyDescent="0.25">
      <c r="AW492" s="33">
        <v>0</v>
      </c>
    </row>
    <row r="493" spans="49:49" x14ac:dyDescent="0.25">
      <c r="AW493" s="33">
        <v>0</v>
      </c>
    </row>
    <row r="494" spans="49:49" x14ac:dyDescent="0.25">
      <c r="AW494" s="33">
        <v>0</v>
      </c>
    </row>
    <row r="495" spans="49:49" x14ac:dyDescent="0.25">
      <c r="AW495" s="33">
        <v>0</v>
      </c>
    </row>
    <row r="496" spans="49:49" x14ac:dyDescent="0.25">
      <c r="AW496" s="33">
        <v>0</v>
      </c>
    </row>
    <row r="497" spans="49:49" x14ac:dyDescent="0.25">
      <c r="AW497" s="33">
        <v>0</v>
      </c>
    </row>
    <row r="498" spans="49:49" x14ac:dyDescent="0.25">
      <c r="AW498" s="33">
        <v>0</v>
      </c>
    </row>
    <row r="499" spans="49:49" x14ac:dyDescent="0.25">
      <c r="AW499" s="33">
        <v>0</v>
      </c>
    </row>
    <row r="500" spans="49:49" x14ac:dyDescent="0.25">
      <c r="AW500" s="33">
        <v>0</v>
      </c>
    </row>
    <row r="501" spans="49:49" x14ac:dyDescent="0.25">
      <c r="AW501" s="33">
        <v>0</v>
      </c>
    </row>
    <row r="502" spans="49:49" x14ac:dyDescent="0.25">
      <c r="AW502" s="33">
        <v>0</v>
      </c>
    </row>
    <row r="503" spans="49:49" x14ac:dyDescent="0.25">
      <c r="AW503" s="33">
        <v>0</v>
      </c>
    </row>
    <row r="504" spans="49:49" x14ac:dyDescent="0.25">
      <c r="AW504" s="33">
        <v>0</v>
      </c>
    </row>
    <row r="505" spans="49:49" x14ac:dyDescent="0.25">
      <c r="AW505" s="33">
        <v>0</v>
      </c>
    </row>
    <row r="506" spans="49:49" x14ac:dyDescent="0.25">
      <c r="AW506" s="33">
        <v>0</v>
      </c>
    </row>
    <row r="507" spans="49:49" x14ac:dyDescent="0.25">
      <c r="AW507" s="33">
        <v>0</v>
      </c>
    </row>
    <row r="508" spans="49:49" x14ac:dyDescent="0.25">
      <c r="AW508" s="33">
        <v>0</v>
      </c>
    </row>
    <row r="509" spans="49:49" x14ac:dyDescent="0.25">
      <c r="AW509" s="33">
        <v>0</v>
      </c>
    </row>
    <row r="510" spans="49:49" x14ac:dyDescent="0.25">
      <c r="AW510" s="33">
        <v>0</v>
      </c>
    </row>
    <row r="511" spans="49:49" x14ac:dyDescent="0.25">
      <c r="AW511" s="33">
        <v>0</v>
      </c>
    </row>
    <row r="512" spans="49:49" x14ac:dyDescent="0.25">
      <c r="AW512" s="33">
        <v>0</v>
      </c>
    </row>
    <row r="513" spans="49:49" x14ac:dyDescent="0.25">
      <c r="AW513" s="33">
        <v>0</v>
      </c>
    </row>
    <row r="514" spans="49:49" x14ac:dyDescent="0.25">
      <c r="AW514" s="33">
        <v>0</v>
      </c>
    </row>
    <row r="515" spans="49:49" x14ac:dyDescent="0.25">
      <c r="AW515" s="33">
        <v>0</v>
      </c>
    </row>
    <row r="516" spans="49:49" x14ac:dyDescent="0.25">
      <c r="AW516" s="33">
        <v>0</v>
      </c>
    </row>
    <row r="517" spans="49:49" x14ac:dyDescent="0.25">
      <c r="AW517" s="33">
        <v>0</v>
      </c>
    </row>
    <row r="518" spans="49:49" x14ac:dyDescent="0.25">
      <c r="AW518" s="33">
        <v>0</v>
      </c>
    </row>
    <row r="519" spans="49:49" x14ac:dyDescent="0.25">
      <c r="AW519" s="33">
        <v>0</v>
      </c>
    </row>
    <row r="520" spans="49:49" x14ac:dyDescent="0.25">
      <c r="AW520" s="33">
        <v>0</v>
      </c>
    </row>
    <row r="521" spans="49:49" x14ac:dyDescent="0.25">
      <c r="AW521" s="33">
        <v>0</v>
      </c>
    </row>
    <row r="522" spans="49:49" x14ac:dyDescent="0.25">
      <c r="AW522" s="33">
        <v>0</v>
      </c>
    </row>
    <row r="523" spans="49:49" x14ac:dyDescent="0.25">
      <c r="AW523" s="33">
        <v>0</v>
      </c>
    </row>
    <row r="524" spans="49:49" x14ac:dyDescent="0.25">
      <c r="AW524" s="33">
        <v>0</v>
      </c>
    </row>
    <row r="525" spans="49:49" x14ac:dyDescent="0.25">
      <c r="AW525" s="33">
        <v>0</v>
      </c>
    </row>
    <row r="526" spans="49:49" x14ac:dyDescent="0.25">
      <c r="AW526" s="33">
        <v>0</v>
      </c>
    </row>
    <row r="527" spans="49:49" x14ac:dyDescent="0.25">
      <c r="AW527" s="33">
        <v>0</v>
      </c>
    </row>
    <row r="528" spans="49:49" x14ac:dyDescent="0.25">
      <c r="AW528" s="33">
        <v>0</v>
      </c>
    </row>
    <row r="529" spans="49:49" x14ac:dyDescent="0.25">
      <c r="AW529" s="33">
        <v>0</v>
      </c>
    </row>
    <row r="530" spans="49:49" x14ac:dyDescent="0.25">
      <c r="AW530" s="33">
        <v>0</v>
      </c>
    </row>
    <row r="531" spans="49:49" x14ac:dyDescent="0.25">
      <c r="AW531" s="33">
        <v>0</v>
      </c>
    </row>
    <row r="532" spans="49:49" x14ac:dyDescent="0.25">
      <c r="AW532" s="33">
        <v>0</v>
      </c>
    </row>
    <row r="533" spans="49:49" x14ac:dyDescent="0.25">
      <c r="AW533" s="33">
        <v>0</v>
      </c>
    </row>
    <row r="534" spans="49:49" x14ac:dyDescent="0.25">
      <c r="AW534" s="33">
        <v>0</v>
      </c>
    </row>
    <row r="535" spans="49:49" x14ac:dyDescent="0.25">
      <c r="AW535" s="33">
        <v>0</v>
      </c>
    </row>
    <row r="536" spans="49:49" x14ac:dyDescent="0.25">
      <c r="AW536" s="33">
        <v>0</v>
      </c>
    </row>
    <row r="537" spans="49:49" x14ac:dyDescent="0.25">
      <c r="AW537" s="33">
        <v>0</v>
      </c>
    </row>
    <row r="538" spans="49:49" x14ac:dyDescent="0.25">
      <c r="AW538" s="33">
        <v>0</v>
      </c>
    </row>
    <row r="539" spans="49:49" x14ac:dyDescent="0.25">
      <c r="AW539" s="33">
        <v>0</v>
      </c>
    </row>
    <row r="540" spans="49:49" x14ac:dyDescent="0.25">
      <c r="AW540" s="33">
        <v>0</v>
      </c>
    </row>
    <row r="541" spans="49:49" x14ac:dyDescent="0.25">
      <c r="AW541" s="33">
        <v>0</v>
      </c>
    </row>
    <row r="542" spans="49:49" x14ac:dyDescent="0.25">
      <c r="AW542" s="33">
        <v>0</v>
      </c>
    </row>
    <row r="543" spans="49:49" x14ac:dyDescent="0.25">
      <c r="AW543" s="33">
        <v>0</v>
      </c>
    </row>
    <row r="544" spans="49:49" x14ac:dyDescent="0.25">
      <c r="AW544" s="33">
        <v>0</v>
      </c>
    </row>
    <row r="545" spans="49:49" x14ac:dyDescent="0.25">
      <c r="AW545" s="33">
        <v>0</v>
      </c>
    </row>
    <row r="546" spans="49:49" x14ac:dyDescent="0.25">
      <c r="AW546" s="33">
        <v>0</v>
      </c>
    </row>
    <row r="547" spans="49:49" x14ac:dyDescent="0.25">
      <c r="AW547" s="33">
        <v>0</v>
      </c>
    </row>
    <row r="548" spans="49:49" x14ac:dyDescent="0.25">
      <c r="AW548" s="33">
        <v>0</v>
      </c>
    </row>
    <row r="549" spans="49:49" x14ac:dyDescent="0.25">
      <c r="AW549" s="33">
        <v>0</v>
      </c>
    </row>
    <row r="550" spans="49:49" x14ac:dyDescent="0.25">
      <c r="AW550" s="33">
        <v>0</v>
      </c>
    </row>
    <row r="551" spans="49:49" x14ac:dyDescent="0.25">
      <c r="AW551" s="33">
        <v>0</v>
      </c>
    </row>
    <row r="552" spans="49:49" x14ac:dyDescent="0.25">
      <c r="AW552" s="33">
        <v>0</v>
      </c>
    </row>
    <row r="553" spans="49:49" x14ac:dyDescent="0.25">
      <c r="AW553" s="33">
        <v>0</v>
      </c>
    </row>
    <row r="554" spans="49:49" x14ac:dyDescent="0.25">
      <c r="AW554" s="33">
        <v>0</v>
      </c>
    </row>
    <row r="555" spans="49:49" x14ac:dyDescent="0.25">
      <c r="AW555" s="33">
        <v>0</v>
      </c>
    </row>
    <row r="556" spans="49:49" x14ac:dyDescent="0.25">
      <c r="AW556" s="33">
        <v>0</v>
      </c>
    </row>
    <row r="557" spans="49:49" x14ac:dyDescent="0.25">
      <c r="AW557" s="33">
        <v>0</v>
      </c>
    </row>
    <row r="558" spans="49:49" x14ac:dyDescent="0.25">
      <c r="AW558" s="33">
        <v>0</v>
      </c>
    </row>
    <row r="559" spans="49:49" x14ac:dyDescent="0.25">
      <c r="AW559" s="33">
        <v>0</v>
      </c>
    </row>
    <row r="560" spans="49:49" x14ac:dyDescent="0.25">
      <c r="AW560" s="33">
        <v>0</v>
      </c>
    </row>
    <row r="561" spans="49:49" x14ac:dyDescent="0.25">
      <c r="AW561" s="33">
        <v>0</v>
      </c>
    </row>
    <row r="562" spans="49:49" x14ac:dyDescent="0.25">
      <c r="AW562" s="33">
        <v>0</v>
      </c>
    </row>
    <row r="563" spans="49:49" x14ac:dyDescent="0.25">
      <c r="AW563" s="33">
        <v>0</v>
      </c>
    </row>
    <row r="564" spans="49:49" x14ac:dyDescent="0.25">
      <c r="AW564" s="33">
        <v>0</v>
      </c>
    </row>
    <row r="565" spans="49:49" x14ac:dyDescent="0.25">
      <c r="AW565" s="33">
        <v>0</v>
      </c>
    </row>
    <row r="566" spans="49:49" x14ac:dyDescent="0.25">
      <c r="AW566" s="33">
        <v>0</v>
      </c>
    </row>
    <row r="567" spans="49:49" x14ac:dyDescent="0.25">
      <c r="AW567" s="33">
        <v>0</v>
      </c>
    </row>
    <row r="568" spans="49:49" x14ac:dyDescent="0.25">
      <c r="AW568" s="33">
        <v>0</v>
      </c>
    </row>
    <row r="569" spans="49:49" x14ac:dyDescent="0.25">
      <c r="AW569" s="33">
        <v>0</v>
      </c>
    </row>
    <row r="570" spans="49:49" x14ac:dyDescent="0.25">
      <c r="AW570" s="33">
        <v>0</v>
      </c>
    </row>
    <row r="571" spans="49:49" x14ac:dyDescent="0.25">
      <c r="AW571" s="33">
        <v>0</v>
      </c>
    </row>
    <row r="572" spans="49:49" x14ac:dyDescent="0.25">
      <c r="AW572" s="33">
        <v>0</v>
      </c>
    </row>
    <row r="573" spans="49:49" x14ac:dyDescent="0.25">
      <c r="AW573" s="33">
        <v>0</v>
      </c>
    </row>
    <row r="574" spans="49:49" x14ac:dyDescent="0.25">
      <c r="AW574" s="33">
        <v>0</v>
      </c>
    </row>
    <row r="575" spans="49:49" x14ac:dyDescent="0.25">
      <c r="AW575" s="33">
        <v>0</v>
      </c>
    </row>
    <row r="576" spans="49:49" x14ac:dyDescent="0.25">
      <c r="AW576" s="33">
        <v>0</v>
      </c>
    </row>
    <row r="577" spans="49:49" x14ac:dyDescent="0.25">
      <c r="AW577" s="33">
        <v>0</v>
      </c>
    </row>
    <row r="578" spans="49:49" x14ac:dyDescent="0.25">
      <c r="AW578" s="33">
        <v>0</v>
      </c>
    </row>
    <row r="579" spans="49:49" x14ac:dyDescent="0.25">
      <c r="AW579" s="33">
        <v>0</v>
      </c>
    </row>
    <row r="580" spans="49:49" x14ac:dyDescent="0.25">
      <c r="AW580" s="33">
        <v>0</v>
      </c>
    </row>
    <row r="581" spans="49:49" x14ac:dyDescent="0.25">
      <c r="AW581" s="33">
        <v>0</v>
      </c>
    </row>
    <row r="582" spans="49:49" x14ac:dyDescent="0.25">
      <c r="AW582" s="33">
        <v>0</v>
      </c>
    </row>
    <row r="583" spans="49:49" x14ac:dyDescent="0.25">
      <c r="AW583" s="33">
        <v>0</v>
      </c>
    </row>
    <row r="584" spans="49:49" x14ac:dyDescent="0.25">
      <c r="AW584" s="33">
        <v>0</v>
      </c>
    </row>
    <row r="585" spans="49:49" x14ac:dyDescent="0.25">
      <c r="AW585" s="33">
        <v>0</v>
      </c>
    </row>
    <row r="586" spans="49:49" x14ac:dyDescent="0.25">
      <c r="AW586" s="33">
        <v>0</v>
      </c>
    </row>
    <row r="587" spans="49:49" x14ac:dyDescent="0.25">
      <c r="AW587" s="33">
        <v>0</v>
      </c>
    </row>
    <row r="588" spans="49:49" x14ac:dyDescent="0.25">
      <c r="AW588" s="33">
        <v>0</v>
      </c>
    </row>
    <row r="589" spans="49:49" x14ac:dyDescent="0.25">
      <c r="AW589" s="33">
        <v>0</v>
      </c>
    </row>
    <row r="590" spans="49:49" x14ac:dyDescent="0.25">
      <c r="AW590" s="33">
        <v>0</v>
      </c>
    </row>
    <row r="591" spans="49:49" x14ac:dyDescent="0.25">
      <c r="AW591" s="33">
        <v>0</v>
      </c>
    </row>
    <row r="592" spans="49:49" x14ac:dyDescent="0.25">
      <c r="AW592" s="33">
        <v>0</v>
      </c>
    </row>
    <row r="593" spans="49:49" x14ac:dyDescent="0.25">
      <c r="AW593" s="33">
        <v>0</v>
      </c>
    </row>
    <row r="594" spans="49:49" x14ac:dyDescent="0.25">
      <c r="AW594" s="33">
        <v>0</v>
      </c>
    </row>
    <row r="595" spans="49:49" x14ac:dyDescent="0.25">
      <c r="AW595" s="33">
        <v>0</v>
      </c>
    </row>
    <row r="596" spans="49:49" x14ac:dyDescent="0.25">
      <c r="AW596" s="33">
        <v>0</v>
      </c>
    </row>
    <row r="597" spans="49:49" x14ac:dyDescent="0.25">
      <c r="AW597" s="33">
        <v>0</v>
      </c>
    </row>
    <row r="598" spans="49:49" x14ac:dyDescent="0.25">
      <c r="AW598" s="33">
        <v>0</v>
      </c>
    </row>
    <row r="599" spans="49:49" x14ac:dyDescent="0.25">
      <c r="AW599" s="33">
        <v>0</v>
      </c>
    </row>
    <row r="600" spans="49:49" x14ac:dyDescent="0.25">
      <c r="AW600" s="33">
        <v>0</v>
      </c>
    </row>
    <row r="601" spans="49:49" x14ac:dyDescent="0.25">
      <c r="AW601" s="33">
        <v>0</v>
      </c>
    </row>
    <row r="602" spans="49:49" x14ac:dyDescent="0.25">
      <c r="AW602" s="33">
        <v>0</v>
      </c>
    </row>
    <row r="603" spans="49:49" x14ac:dyDescent="0.25">
      <c r="AW603" s="33">
        <v>0</v>
      </c>
    </row>
    <row r="604" spans="49:49" x14ac:dyDescent="0.25">
      <c r="AW604" s="33">
        <v>0</v>
      </c>
    </row>
    <row r="605" spans="49:49" x14ac:dyDescent="0.25">
      <c r="AW605" s="33">
        <v>0</v>
      </c>
    </row>
    <row r="606" spans="49:49" x14ac:dyDescent="0.25">
      <c r="AW606" s="33">
        <v>0</v>
      </c>
    </row>
    <row r="607" spans="49:49" x14ac:dyDescent="0.25">
      <c r="AW607" s="33">
        <v>0</v>
      </c>
    </row>
    <row r="608" spans="49:49" x14ac:dyDescent="0.25">
      <c r="AW608" s="33">
        <v>0</v>
      </c>
    </row>
    <row r="609" spans="49:49" x14ac:dyDescent="0.25">
      <c r="AW609" s="33">
        <v>0</v>
      </c>
    </row>
    <row r="610" spans="49:49" x14ac:dyDescent="0.25">
      <c r="AW610" s="33">
        <v>0</v>
      </c>
    </row>
    <row r="611" spans="49:49" x14ac:dyDescent="0.25">
      <c r="AW611" s="33">
        <v>0</v>
      </c>
    </row>
    <row r="612" spans="49:49" x14ac:dyDescent="0.25">
      <c r="AW612" s="33">
        <v>0</v>
      </c>
    </row>
    <row r="613" spans="49:49" x14ac:dyDescent="0.25">
      <c r="AW613" s="33">
        <v>0</v>
      </c>
    </row>
    <row r="614" spans="49:49" x14ac:dyDescent="0.25">
      <c r="AW614" s="33">
        <v>0</v>
      </c>
    </row>
    <row r="615" spans="49:49" x14ac:dyDescent="0.25">
      <c r="AW615" s="33">
        <v>0</v>
      </c>
    </row>
    <row r="616" spans="49:49" x14ac:dyDescent="0.25">
      <c r="AW616" s="33">
        <v>0</v>
      </c>
    </row>
    <row r="617" spans="49:49" x14ac:dyDescent="0.25">
      <c r="AW617" s="33">
        <v>0</v>
      </c>
    </row>
    <row r="618" spans="49:49" x14ac:dyDescent="0.25">
      <c r="AW618" s="33">
        <v>0</v>
      </c>
    </row>
    <row r="619" spans="49:49" x14ac:dyDescent="0.25">
      <c r="AW619" s="33">
        <v>0</v>
      </c>
    </row>
    <row r="620" spans="49:49" x14ac:dyDescent="0.25">
      <c r="AW620" s="33">
        <v>0</v>
      </c>
    </row>
    <row r="621" spans="49:49" x14ac:dyDescent="0.25">
      <c r="AW621" s="33">
        <v>0</v>
      </c>
    </row>
    <row r="622" spans="49:49" x14ac:dyDescent="0.25">
      <c r="AW622" s="33">
        <v>0</v>
      </c>
    </row>
    <row r="623" spans="49:49" x14ac:dyDescent="0.25">
      <c r="AW623" s="33">
        <v>0</v>
      </c>
    </row>
    <row r="624" spans="49:49" x14ac:dyDescent="0.25">
      <c r="AW624" s="33">
        <v>0</v>
      </c>
    </row>
    <row r="625" spans="49:49" x14ac:dyDescent="0.25">
      <c r="AW625" s="33">
        <v>0</v>
      </c>
    </row>
    <row r="626" spans="49:49" x14ac:dyDescent="0.25">
      <c r="AW626" s="33">
        <v>0</v>
      </c>
    </row>
    <row r="627" spans="49:49" x14ac:dyDescent="0.25">
      <c r="AW627" s="33">
        <v>0</v>
      </c>
    </row>
    <row r="628" spans="49:49" x14ac:dyDescent="0.25">
      <c r="AW628" s="33">
        <v>0</v>
      </c>
    </row>
    <row r="629" spans="49:49" x14ac:dyDescent="0.25">
      <c r="AW629" s="33">
        <v>0</v>
      </c>
    </row>
    <row r="630" spans="49:49" x14ac:dyDescent="0.25">
      <c r="AW630" s="33">
        <v>0</v>
      </c>
    </row>
    <row r="631" spans="49:49" x14ac:dyDescent="0.25">
      <c r="AW631" s="33">
        <v>0</v>
      </c>
    </row>
    <row r="632" spans="49:49" x14ac:dyDescent="0.25">
      <c r="AW632" s="33">
        <v>0</v>
      </c>
    </row>
    <row r="633" spans="49:49" x14ac:dyDescent="0.25">
      <c r="AW633" s="33">
        <v>0</v>
      </c>
    </row>
    <row r="634" spans="49:49" x14ac:dyDescent="0.25">
      <c r="AW634" s="33">
        <v>0</v>
      </c>
    </row>
    <row r="635" spans="49:49" x14ac:dyDescent="0.25">
      <c r="AW635" s="33">
        <v>0</v>
      </c>
    </row>
    <row r="636" spans="49:49" x14ac:dyDescent="0.25">
      <c r="AW636" s="33">
        <v>0</v>
      </c>
    </row>
    <row r="637" spans="49:49" x14ac:dyDescent="0.25">
      <c r="AW637" s="33">
        <v>0</v>
      </c>
    </row>
    <row r="638" spans="49:49" x14ac:dyDescent="0.25">
      <c r="AW638" s="33">
        <v>0</v>
      </c>
    </row>
    <row r="639" spans="49:49" x14ac:dyDescent="0.25">
      <c r="AW639" s="33">
        <v>0</v>
      </c>
    </row>
    <row r="640" spans="49:49" x14ac:dyDescent="0.25">
      <c r="AW640" s="33">
        <v>0</v>
      </c>
    </row>
    <row r="641" spans="49:49" x14ac:dyDescent="0.25">
      <c r="AW641" s="33">
        <v>0</v>
      </c>
    </row>
    <row r="642" spans="49:49" x14ac:dyDescent="0.25">
      <c r="AW642" s="33">
        <v>0</v>
      </c>
    </row>
    <row r="643" spans="49:49" x14ac:dyDescent="0.25">
      <c r="AW643" s="33">
        <v>0</v>
      </c>
    </row>
    <row r="644" spans="49:49" x14ac:dyDescent="0.25">
      <c r="AW644" s="33">
        <v>0</v>
      </c>
    </row>
    <row r="645" spans="49:49" x14ac:dyDescent="0.25">
      <c r="AW645" s="33">
        <v>0</v>
      </c>
    </row>
    <row r="646" spans="49:49" x14ac:dyDescent="0.25">
      <c r="AW646" s="33">
        <v>0</v>
      </c>
    </row>
    <row r="647" spans="49:49" x14ac:dyDescent="0.25">
      <c r="AW647" s="33">
        <v>0</v>
      </c>
    </row>
    <row r="648" spans="49:49" x14ac:dyDescent="0.25">
      <c r="AW648" s="33">
        <v>0</v>
      </c>
    </row>
    <row r="649" spans="49:49" x14ac:dyDescent="0.25">
      <c r="AW649" s="33">
        <v>0</v>
      </c>
    </row>
    <row r="650" spans="49:49" x14ac:dyDescent="0.25">
      <c r="AW650" s="33">
        <v>0</v>
      </c>
    </row>
    <row r="651" spans="49:49" x14ac:dyDescent="0.25">
      <c r="AW651" s="33">
        <v>0</v>
      </c>
    </row>
    <row r="652" spans="49:49" x14ac:dyDescent="0.25">
      <c r="AW652" s="33">
        <v>0</v>
      </c>
    </row>
    <row r="653" spans="49:49" x14ac:dyDescent="0.25">
      <c r="AW653" s="33">
        <v>0</v>
      </c>
    </row>
    <row r="654" spans="49:49" x14ac:dyDescent="0.25">
      <c r="AW654" s="33">
        <v>0</v>
      </c>
    </row>
    <row r="655" spans="49:49" x14ac:dyDescent="0.25">
      <c r="AW655" s="33">
        <v>0</v>
      </c>
    </row>
    <row r="656" spans="49:49" x14ac:dyDescent="0.25">
      <c r="AW656" s="33">
        <v>0</v>
      </c>
    </row>
    <row r="657" spans="49:49" x14ac:dyDescent="0.25">
      <c r="AW657" s="33">
        <v>0</v>
      </c>
    </row>
    <row r="658" spans="49:49" x14ac:dyDescent="0.25">
      <c r="AW658" s="33">
        <v>0</v>
      </c>
    </row>
    <row r="659" spans="49:49" x14ac:dyDescent="0.25">
      <c r="AW659" s="33">
        <v>0</v>
      </c>
    </row>
    <row r="660" spans="49:49" x14ac:dyDescent="0.25">
      <c r="AW660" s="33">
        <v>0</v>
      </c>
    </row>
    <row r="661" spans="49:49" x14ac:dyDescent="0.25">
      <c r="AW661" s="33">
        <v>0</v>
      </c>
    </row>
    <row r="662" spans="49:49" x14ac:dyDescent="0.25">
      <c r="AW662" s="33">
        <v>0</v>
      </c>
    </row>
    <row r="663" spans="49:49" x14ac:dyDescent="0.25">
      <c r="AW663" s="33">
        <v>0</v>
      </c>
    </row>
    <row r="664" spans="49:49" x14ac:dyDescent="0.25">
      <c r="AW664" s="33">
        <v>0</v>
      </c>
    </row>
    <row r="665" spans="49:49" x14ac:dyDescent="0.25">
      <c r="AW665" s="33">
        <v>0</v>
      </c>
    </row>
    <row r="666" spans="49:49" x14ac:dyDescent="0.25">
      <c r="AW666" s="33">
        <v>0</v>
      </c>
    </row>
    <row r="667" spans="49:49" x14ac:dyDescent="0.25">
      <c r="AW667" s="33">
        <v>0</v>
      </c>
    </row>
    <row r="668" spans="49:49" x14ac:dyDescent="0.25">
      <c r="AW668" s="33">
        <v>0</v>
      </c>
    </row>
    <row r="669" spans="49:49" x14ac:dyDescent="0.25">
      <c r="AW669" s="33">
        <v>0</v>
      </c>
    </row>
    <row r="670" spans="49:49" x14ac:dyDescent="0.25">
      <c r="AW670" s="33">
        <v>0</v>
      </c>
    </row>
    <row r="671" spans="49:49" x14ac:dyDescent="0.25">
      <c r="AW671" s="33">
        <v>0</v>
      </c>
    </row>
    <row r="672" spans="49:49" x14ac:dyDescent="0.25">
      <c r="AW672" s="33">
        <v>0</v>
      </c>
    </row>
    <row r="673" spans="49:49" x14ac:dyDescent="0.25">
      <c r="AW673" s="33">
        <v>0</v>
      </c>
    </row>
    <row r="674" spans="49:49" x14ac:dyDescent="0.25">
      <c r="AW674" s="33">
        <v>0</v>
      </c>
    </row>
    <row r="675" spans="49:49" x14ac:dyDescent="0.25">
      <c r="AW675" s="33">
        <v>0</v>
      </c>
    </row>
    <row r="676" spans="49:49" x14ac:dyDescent="0.25">
      <c r="AW676" s="33">
        <v>0</v>
      </c>
    </row>
    <row r="677" spans="49:49" x14ac:dyDescent="0.25">
      <c r="AW677" s="33">
        <v>0</v>
      </c>
    </row>
    <row r="678" spans="49:49" x14ac:dyDescent="0.25">
      <c r="AW678" s="33">
        <v>0</v>
      </c>
    </row>
    <row r="679" spans="49:49" x14ac:dyDescent="0.25">
      <c r="AW679" s="33">
        <v>0</v>
      </c>
    </row>
    <row r="680" spans="49:49" x14ac:dyDescent="0.25">
      <c r="AW680" s="33">
        <v>0</v>
      </c>
    </row>
    <row r="681" spans="49:49" x14ac:dyDescent="0.25">
      <c r="AW681" s="33">
        <v>0</v>
      </c>
    </row>
    <row r="682" spans="49:49" x14ac:dyDescent="0.25">
      <c r="AW682" s="33">
        <v>0</v>
      </c>
    </row>
    <row r="683" spans="49:49" x14ac:dyDescent="0.25">
      <c r="AW683" s="33">
        <v>0</v>
      </c>
    </row>
    <row r="684" spans="49:49" x14ac:dyDescent="0.25">
      <c r="AW684" s="33">
        <v>0</v>
      </c>
    </row>
    <row r="685" spans="49:49" x14ac:dyDescent="0.25">
      <c r="AW685" s="33">
        <v>0</v>
      </c>
    </row>
    <row r="686" spans="49:49" x14ac:dyDescent="0.25">
      <c r="AW686" s="33">
        <v>0</v>
      </c>
    </row>
    <row r="687" spans="49:49" x14ac:dyDescent="0.25">
      <c r="AW687" s="33">
        <v>0</v>
      </c>
    </row>
    <row r="688" spans="49:49" x14ac:dyDescent="0.25">
      <c r="AW688" s="33">
        <v>0</v>
      </c>
    </row>
    <row r="689" spans="49:49" x14ac:dyDescent="0.25">
      <c r="AW689" s="33">
        <v>0</v>
      </c>
    </row>
    <row r="690" spans="49:49" x14ac:dyDescent="0.25">
      <c r="AW690" s="33">
        <v>0</v>
      </c>
    </row>
    <row r="691" spans="49:49" x14ac:dyDescent="0.25">
      <c r="AW691" s="33">
        <v>0</v>
      </c>
    </row>
    <row r="692" spans="49:49" x14ac:dyDescent="0.25">
      <c r="AW692" s="33">
        <v>0</v>
      </c>
    </row>
    <row r="693" spans="49:49" x14ac:dyDescent="0.25">
      <c r="AW693" s="33">
        <v>0</v>
      </c>
    </row>
    <row r="694" spans="49:49" x14ac:dyDescent="0.25">
      <c r="AW694" s="33">
        <v>0</v>
      </c>
    </row>
    <row r="695" spans="49:49" x14ac:dyDescent="0.25">
      <c r="AW695" s="33">
        <v>0</v>
      </c>
    </row>
    <row r="696" spans="49:49" x14ac:dyDescent="0.25">
      <c r="AW696" s="33">
        <v>0</v>
      </c>
    </row>
    <row r="697" spans="49:49" x14ac:dyDescent="0.25">
      <c r="AW697" s="33">
        <v>0</v>
      </c>
    </row>
    <row r="698" spans="49:49" x14ac:dyDescent="0.25">
      <c r="AW698" s="33">
        <v>0</v>
      </c>
    </row>
    <row r="699" spans="49:49" x14ac:dyDescent="0.25">
      <c r="AW699" s="33">
        <v>0</v>
      </c>
    </row>
    <row r="700" spans="49:49" x14ac:dyDescent="0.25">
      <c r="AW700" s="33">
        <v>0</v>
      </c>
    </row>
    <row r="701" spans="49:49" x14ac:dyDescent="0.25">
      <c r="AW701" s="33">
        <v>0</v>
      </c>
    </row>
    <row r="702" spans="49:49" x14ac:dyDescent="0.25">
      <c r="AW702" s="33">
        <v>0</v>
      </c>
    </row>
    <row r="703" spans="49:49" x14ac:dyDescent="0.25">
      <c r="AW703" s="33">
        <v>0</v>
      </c>
    </row>
    <row r="704" spans="49:49" x14ac:dyDescent="0.25">
      <c r="AW704" s="33">
        <v>0</v>
      </c>
    </row>
    <row r="705" spans="49:49" x14ac:dyDescent="0.25">
      <c r="AW705" s="33">
        <v>0</v>
      </c>
    </row>
    <row r="706" spans="49:49" x14ac:dyDescent="0.25">
      <c r="AW706" s="33">
        <v>0</v>
      </c>
    </row>
    <row r="707" spans="49:49" x14ac:dyDescent="0.25">
      <c r="AW707" s="33">
        <v>0</v>
      </c>
    </row>
    <row r="708" spans="49:49" x14ac:dyDescent="0.25">
      <c r="AW708" s="33">
        <v>0</v>
      </c>
    </row>
    <row r="709" spans="49:49" x14ac:dyDescent="0.25">
      <c r="AW709" s="33">
        <v>0</v>
      </c>
    </row>
    <row r="710" spans="49:49" x14ac:dyDescent="0.25">
      <c r="AW710" s="33">
        <v>0</v>
      </c>
    </row>
    <row r="711" spans="49:49" x14ac:dyDescent="0.25">
      <c r="AW711" s="33">
        <v>0</v>
      </c>
    </row>
    <row r="712" spans="49:49" x14ac:dyDescent="0.25">
      <c r="AW712" s="33">
        <v>0</v>
      </c>
    </row>
    <row r="713" spans="49:49" x14ac:dyDescent="0.25">
      <c r="AW713" s="33">
        <v>0</v>
      </c>
    </row>
    <row r="714" spans="49:49" x14ac:dyDescent="0.25">
      <c r="AW714" s="33">
        <v>0</v>
      </c>
    </row>
    <row r="715" spans="49:49" x14ac:dyDescent="0.25">
      <c r="AW715" s="33">
        <v>0</v>
      </c>
    </row>
    <row r="716" spans="49:49" x14ac:dyDescent="0.25">
      <c r="AW716" s="33">
        <v>0</v>
      </c>
    </row>
    <row r="717" spans="49:49" x14ac:dyDescent="0.25">
      <c r="AW717" s="33">
        <v>0</v>
      </c>
    </row>
    <row r="718" spans="49:49" x14ac:dyDescent="0.25">
      <c r="AW718" s="33">
        <v>0</v>
      </c>
    </row>
    <row r="719" spans="49:49" x14ac:dyDescent="0.25">
      <c r="AW719" s="33">
        <v>0</v>
      </c>
    </row>
    <row r="720" spans="49:49" x14ac:dyDescent="0.25">
      <c r="AW720" s="33">
        <v>0</v>
      </c>
    </row>
    <row r="721" spans="49:49" x14ac:dyDescent="0.25">
      <c r="AW721" s="33">
        <v>0</v>
      </c>
    </row>
    <row r="722" spans="49:49" x14ac:dyDescent="0.25">
      <c r="AW722" s="33">
        <v>0</v>
      </c>
    </row>
    <row r="723" spans="49:49" x14ac:dyDescent="0.25">
      <c r="AW723" s="33">
        <v>0</v>
      </c>
    </row>
    <row r="724" spans="49:49" x14ac:dyDescent="0.25">
      <c r="AW724" s="33">
        <v>0</v>
      </c>
    </row>
    <row r="725" spans="49:49" x14ac:dyDescent="0.25">
      <c r="AW725" s="33">
        <v>0</v>
      </c>
    </row>
    <row r="726" spans="49:49" x14ac:dyDescent="0.25">
      <c r="AW726" s="33">
        <v>0</v>
      </c>
    </row>
    <row r="727" spans="49:49" x14ac:dyDescent="0.25">
      <c r="AW727" s="33">
        <v>0</v>
      </c>
    </row>
    <row r="728" spans="49:49" x14ac:dyDescent="0.25">
      <c r="AW728" s="33">
        <v>0</v>
      </c>
    </row>
    <row r="729" spans="49:49" x14ac:dyDescent="0.25">
      <c r="AW729" s="33">
        <v>0</v>
      </c>
    </row>
    <row r="730" spans="49:49" x14ac:dyDescent="0.25">
      <c r="AW730" s="33">
        <v>0</v>
      </c>
    </row>
    <row r="731" spans="49:49" x14ac:dyDescent="0.25">
      <c r="AW731" s="33">
        <v>0</v>
      </c>
    </row>
    <row r="732" spans="49:49" x14ac:dyDescent="0.25">
      <c r="AW732" s="33">
        <v>0</v>
      </c>
    </row>
    <row r="733" spans="49:49" x14ac:dyDescent="0.25">
      <c r="AW733" s="33">
        <v>0</v>
      </c>
    </row>
    <row r="734" spans="49:49" x14ac:dyDescent="0.25">
      <c r="AW734" s="33">
        <v>0</v>
      </c>
    </row>
    <row r="735" spans="49:49" x14ac:dyDescent="0.25">
      <c r="AW735" s="33">
        <v>0</v>
      </c>
    </row>
    <row r="736" spans="49:49" x14ac:dyDescent="0.25">
      <c r="AW736" s="33">
        <v>0</v>
      </c>
    </row>
    <row r="737" spans="49:49" x14ac:dyDescent="0.25">
      <c r="AW737" s="33">
        <v>0</v>
      </c>
    </row>
    <row r="738" spans="49:49" x14ac:dyDescent="0.25">
      <c r="AW738" s="33">
        <v>0</v>
      </c>
    </row>
    <row r="739" spans="49:49" x14ac:dyDescent="0.25">
      <c r="AW739" s="33">
        <v>0</v>
      </c>
    </row>
    <row r="740" spans="49:49" x14ac:dyDescent="0.25">
      <c r="AW740" s="33">
        <v>0</v>
      </c>
    </row>
    <row r="741" spans="49:49" x14ac:dyDescent="0.25">
      <c r="AW741" s="33">
        <v>0</v>
      </c>
    </row>
    <row r="742" spans="49:49" x14ac:dyDescent="0.25">
      <c r="AW742" s="33">
        <v>0</v>
      </c>
    </row>
    <row r="743" spans="49:49" x14ac:dyDescent="0.25">
      <c r="AW743" s="33">
        <v>0</v>
      </c>
    </row>
    <row r="744" spans="49:49" x14ac:dyDescent="0.25">
      <c r="AW744" s="33">
        <v>0</v>
      </c>
    </row>
    <row r="745" spans="49:49" x14ac:dyDescent="0.25">
      <c r="AW745" s="33">
        <v>0</v>
      </c>
    </row>
    <row r="746" spans="49:49" x14ac:dyDescent="0.25">
      <c r="AW746" s="33">
        <v>0</v>
      </c>
    </row>
    <row r="747" spans="49:49" x14ac:dyDescent="0.25">
      <c r="AW747" s="33">
        <v>0</v>
      </c>
    </row>
    <row r="748" spans="49:49" x14ac:dyDescent="0.25">
      <c r="AW748" s="33">
        <v>0</v>
      </c>
    </row>
    <row r="749" spans="49:49" x14ac:dyDescent="0.25">
      <c r="AW749" s="33">
        <v>0</v>
      </c>
    </row>
    <row r="750" spans="49:49" x14ac:dyDescent="0.25">
      <c r="AW750" s="33">
        <v>0</v>
      </c>
    </row>
    <row r="751" spans="49:49" x14ac:dyDescent="0.25">
      <c r="AW751" s="33">
        <v>0</v>
      </c>
    </row>
    <row r="752" spans="49:49" x14ac:dyDescent="0.25">
      <c r="AW752" s="33">
        <v>0</v>
      </c>
    </row>
    <row r="753" spans="49:49" x14ac:dyDescent="0.25">
      <c r="AW753" s="33">
        <v>0</v>
      </c>
    </row>
    <row r="754" spans="49:49" x14ac:dyDescent="0.25">
      <c r="AW754" s="33">
        <v>0</v>
      </c>
    </row>
    <row r="755" spans="49:49" x14ac:dyDescent="0.25">
      <c r="AW755" s="33">
        <v>0</v>
      </c>
    </row>
    <row r="756" spans="49:49" x14ac:dyDescent="0.25">
      <c r="AW756" s="33">
        <v>0</v>
      </c>
    </row>
    <row r="757" spans="49:49" x14ac:dyDescent="0.25">
      <c r="AW757" s="33">
        <v>0</v>
      </c>
    </row>
    <row r="758" spans="49:49" x14ac:dyDescent="0.25">
      <c r="AW758" s="33">
        <v>0</v>
      </c>
    </row>
    <row r="759" spans="49:49" x14ac:dyDescent="0.25">
      <c r="AW759" s="33">
        <v>0</v>
      </c>
    </row>
    <row r="760" spans="49:49" x14ac:dyDescent="0.25">
      <c r="AW760" s="33">
        <v>0</v>
      </c>
    </row>
    <row r="761" spans="49:49" x14ac:dyDescent="0.25">
      <c r="AW761" s="33">
        <v>0</v>
      </c>
    </row>
    <row r="762" spans="49:49" x14ac:dyDescent="0.25">
      <c r="AW762" s="33">
        <v>0</v>
      </c>
    </row>
    <row r="763" spans="49:49" x14ac:dyDescent="0.25">
      <c r="AW763" s="33">
        <v>0</v>
      </c>
    </row>
    <row r="764" spans="49:49" x14ac:dyDescent="0.25">
      <c r="AW764" s="33">
        <v>0</v>
      </c>
    </row>
    <row r="765" spans="49:49" x14ac:dyDescent="0.25">
      <c r="AW765" s="33">
        <v>0</v>
      </c>
    </row>
    <row r="766" spans="49:49" x14ac:dyDescent="0.25">
      <c r="AW766" s="33">
        <v>0</v>
      </c>
    </row>
    <row r="767" spans="49:49" x14ac:dyDescent="0.25">
      <c r="AW767" s="33">
        <v>0</v>
      </c>
    </row>
    <row r="768" spans="49:49" x14ac:dyDescent="0.25">
      <c r="AW768" s="33">
        <v>0</v>
      </c>
    </row>
    <row r="769" spans="49:49" x14ac:dyDescent="0.25">
      <c r="AW769" s="33">
        <v>0</v>
      </c>
    </row>
    <row r="770" spans="49:49" x14ac:dyDescent="0.25">
      <c r="AW770" s="33">
        <v>0</v>
      </c>
    </row>
    <row r="771" spans="49:49" x14ac:dyDescent="0.25">
      <c r="AW771" s="33">
        <v>0</v>
      </c>
    </row>
    <row r="772" spans="49:49" x14ac:dyDescent="0.25">
      <c r="AW772" s="33">
        <v>0</v>
      </c>
    </row>
    <row r="773" spans="49:49" x14ac:dyDescent="0.25">
      <c r="AW773" s="33">
        <v>0</v>
      </c>
    </row>
    <row r="774" spans="49:49" x14ac:dyDescent="0.25">
      <c r="AW774" s="33">
        <v>0</v>
      </c>
    </row>
    <row r="775" spans="49:49" x14ac:dyDescent="0.25">
      <c r="AW775" s="33">
        <v>0</v>
      </c>
    </row>
    <row r="776" spans="49:49" x14ac:dyDescent="0.25">
      <c r="AW776" s="33">
        <v>0</v>
      </c>
    </row>
    <row r="777" spans="49:49" x14ac:dyDescent="0.25">
      <c r="AW777" s="33">
        <v>0</v>
      </c>
    </row>
    <row r="778" spans="49:49" x14ac:dyDescent="0.25">
      <c r="AW778" s="33">
        <v>0</v>
      </c>
    </row>
    <row r="779" spans="49:49" x14ac:dyDescent="0.25">
      <c r="AW779" s="33">
        <v>0</v>
      </c>
    </row>
    <row r="780" spans="49:49" x14ac:dyDescent="0.25">
      <c r="AW780" s="33">
        <v>0</v>
      </c>
    </row>
    <row r="781" spans="49:49" x14ac:dyDescent="0.25">
      <c r="AW781" s="33">
        <v>0</v>
      </c>
    </row>
    <row r="782" spans="49:49" x14ac:dyDescent="0.25">
      <c r="AW782" s="33">
        <v>0</v>
      </c>
    </row>
    <row r="783" spans="49:49" x14ac:dyDescent="0.25">
      <c r="AW783" s="33">
        <v>0</v>
      </c>
    </row>
    <row r="784" spans="49:49" x14ac:dyDescent="0.25">
      <c r="AW784" s="33">
        <v>0</v>
      </c>
    </row>
    <row r="785" spans="49:49" x14ac:dyDescent="0.25">
      <c r="AW785" s="33">
        <v>0</v>
      </c>
    </row>
    <row r="786" spans="49:49" x14ac:dyDescent="0.25">
      <c r="AW786" s="33">
        <v>0</v>
      </c>
    </row>
    <row r="787" spans="49:49" x14ac:dyDescent="0.25">
      <c r="AW787" s="33">
        <v>0</v>
      </c>
    </row>
    <row r="788" spans="49:49" x14ac:dyDescent="0.25">
      <c r="AW788" s="33">
        <v>0</v>
      </c>
    </row>
    <row r="789" spans="49:49" x14ac:dyDescent="0.25">
      <c r="AW789" s="33">
        <v>0</v>
      </c>
    </row>
    <row r="790" spans="49:49" x14ac:dyDescent="0.25">
      <c r="AW790" s="33">
        <v>0</v>
      </c>
    </row>
    <row r="791" spans="49:49" x14ac:dyDescent="0.25">
      <c r="AW791" s="33">
        <v>0</v>
      </c>
    </row>
    <row r="792" spans="49:49" x14ac:dyDescent="0.25">
      <c r="AW792" s="33">
        <v>0</v>
      </c>
    </row>
    <row r="793" spans="49:49" x14ac:dyDescent="0.25">
      <c r="AW793" s="33">
        <v>0</v>
      </c>
    </row>
    <row r="794" spans="49:49" x14ac:dyDescent="0.25">
      <c r="AW794" s="33">
        <v>0</v>
      </c>
    </row>
    <row r="795" spans="49:49" x14ac:dyDescent="0.25">
      <c r="AW795" s="33">
        <v>0</v>
      </c>
    </row>
    <row r="796" spans="49:49" x14ac:dyDescent="0.25">
      <c r="AW796" s="33">
        <v>0</v>
      </c>
    </row>
    <row r="797" spans="49:49" x14ac:dyDescent="0.25">
      <c r="AW797" s="33">
        <v>0</v>
      </c>
    </row>
    <row r="798" spans="49:49" x14ac:dyDescent="0.25">
      <c r="AW798" s="33">
        <v>0</v>
      </c>
    </row>
    <row r="799" spans="49:49" x14ac:dyDescent="0.25">
      <c r="AW799" s="33">
        <v>0</v>
      </c>
    </row>
    <row r="800" spans="49:49" x14ac:dyDescent="0.25">
      <c r="AW800" s="33">
        <v>0</v>
      </c>
    </row>
    <row r="801" spans="49:49" x14ac:dyDescent="0.25">
      <c r="AW801" s="33">
        <v>0</v>
      </c>
    </row>
    <row r="802" spans="49:49" x14ac:dyDescent="0.25">
      <c r="AW802" s="33">
        <v>0</v>
      </c>
    </row>
    <row r="803" spans="49:49" x14ac:dyDescent="0.25">
      <c r="AW803" s="33">
        <v>0</v>
      </c>
    </row>
    <row r="804" spans="49:49" x14ac:dyDescent="0.25">
      <c r="AW804" s="33">
        <v>0</v>
      </c>
    </row>
    <row r="805" spans="49:49" x14ac:dyDescent="0.25">
      <c r="AW805" s="33">
        <v>0</v>
      </c>
    </row>
    <row r="806" spans="49:49" x14ac:dyDescent="0.25">
      <c r="AW806" s="33">
        <v>0</v>
      </c>
    </row>
    <row r="807" spans="49:49" x14ac:dyDescent="0.25">
      <c r="AW807" s="33">
        <v>0</v>
      </c>
    </row>
    <row r="808" spans="49:49" x14ac:dyDescent="0.25">
      <c r="AW808" s="33">
        <v>0</v>
      </c>
    </row>
    <row r="809" spans="49:49" x14ac:dyDescent="0.25">
      <c r="AW809" s="33">
        <v>0</v>
      </c>
    </row>
    <row r="810" spans="49:49" x14ac:dyDescent="0.25">
      <c r="AW810" s="33">
        <v>0</v>
      </c>
    </row>
    <row r="811" spans="49:49" x14ac:dyDescent="0.25">
      <c r="AW811" s="33">
        <v>0</v>
      </c>
    </row>
    <row r="812" spans="49:49" x14ac:dyDescent="0.25">
      <c r="AW812" s="33">
        <v>0</v>
      </c>
    </row>
    <row r="813" spans="49:49" x14ac:dyDescent="0.25">
      <c r="AW813" s="33">
        <v>0</v>
      </c>
    </row>
    <row r="814" spans="49:49" x14ac:dyDescent="0.25">
      <c r="AW814" s="33">
        <v>0</v>
      </c>
    </row>
    <row r="815" spans="49:49" x14ac:dyDescent="0.25">
      <c r="AW815" s="33">
        <v>0</v>
      </c>
    </row>
    <row r="816" spans="49:49" x14ac:dyDescent="0.25">
      <c r="AW816" s="33">
        <v>0</v>
      </c>
    </row>
    <row r="817" spans="49:49" x14ac:dyDescent="0.25">
      <c r="AW817" s="33">
        <v>0</v>
      </c>
    </row>
    <row r="818" spans="49:49" x14ac:dyDescent="0.25">
      <c r="AW818" s="33">
        <v>0</v>
      </c>
    </row>
    <row r="819" spans="49:49" x14ac:dyDescent="0.25">
      <c r="AW819" s="33">
        <v>0</v>
      </c>
    </row>
    <row r="820" spans="49:49" x14ac:dyDescent="0.25">
      <c r="AW820" s="33">
        <v>0</v>
      </c>
    </row>
    <row r="821" spans="49:49" x14ac:dyDescent="0.25">
      <c r="AW821" s="33">
        <v>0</v>
      </c>
    </row>
    <row r="822" spans="49:49" x14ac:dyDescent="0.25">
      <c r="AW822" s="33">
        <v>0</v>
      </c>
    </row>
    <row r="823" spans="49:49" x14ac:dyDescent="0.25">
      <c r="AW823" s="33">
        <v>0</v>
      </c>
    </row>
    <row r="824" spans="49:49" x14ac:dyDescent="0.25">
      <c r="AW824" s="33">
        <v>0</v>
      </c>
    </row>
    <row r="825" spans="49:49" x14ac:dyDescent="0.25">
      <c r="AW825" s="33">
        <v>0</v>
      </c>
    </row>
    <row r="826" spans="49:49" x14ac:dyDescent="0.25">
      <c r="AW826" s="33">
        <v>0</v>
      </c>
    </row>
    <row r="827" spans="49:49" x14ac:dyDescent="0.25">
      <c r="AW827" s="33">
        <v>0</v>
      </c>
    </row>
    <row r="828" spans="49:49" x14ac:dyDescent="0.25">
      <c r="AW828" s="33">
        <v>0</v>
      </c>
    </row>
    <row r="829" spans="49:49" x14ac:dyDescent="0.25">
      <c r="AW829" s="33">
        <v>0</v>
      </c>
    </row>
    <row r="830" spans="49:49" x14ac:dyDescent="0.25">
      <c r="AW830" s="33">
        <v>0</v>
      </c>
    </row>
    <row r="831" spans="49:49" x14ac:dyDescent="0.25">
      <c r="AW831" s="33">
        <v>0</v>
      </c>
    </row>
    <row r="832" spans="49:49" x14ac:dyDescent="0.25">
      <c r="AW832" s="33">
        <v>0</v>
      </c>
    </row>
    <row r="833" spans="49:49" x14ac:dyDescent="0.25">
      <c r="AW833" s="33">
        <v>0</v>
      </c>
    </row>
    <row r="834" spans="49:49" x14ac:dyDescent="0.25">
      <c r="AW834" s="33">
        <v>0</v>
      </c>
    </row>
    <row r="835" spans="49:49" x14ac:dyDescent="0.25">
      <c r="AW835" s="33">
        <v>0</v>
      </c>
    </row>
    <row r="836" spans="49:49" x14ac:dyDescent="0.25">
      <c r="AW836" s="33">
        <v>0</v>
      </c>
    </row>
    <row r="837" spans="49:49" x14ac:dyDescent="0.25">
      <c r="AW837" s="33">
        <v>0</v>
      </c>
    </row>
    <row r="838" spans="49:49" x14ac:dyDescent="0.25">
      <c r="AW838" s="33">
        <v>0</v>
      </c>
    </row>
    <row r="839" spans="49:49" x14ac:dyDescent="0.25">
      <c r="AW839" s="33">
        <v>0</v>
      </c>
    </row>
    <row r="840" spans="49:49" x14ac:dyDescent="0.25">
      <c r="AW840" s="33">
        <v>0</v>
      </c>
    </row>
    <row r="841" spans="49:49" x14ac:dyDescent="0.25">
      <c r="AW841" s="33">
        <v>0</v>
      </c>
    </row>
    <row r="842" spans="49:49" x14ac:dyDescent="0.25">
      <c r="AW842" s="33">
        <v>0</v>
      </c>
    </row>
    <row r="843" spans="49:49" x14ac:dyDescent="0.25">
      <c r="AW843" s="33">
        <v>0</v>
      </c>
    </row>
    <row r="844" spans="49:49" x14ac:dyDescent="0.25">
      <c r="AW844" s="33">
        <v>0</v>
      </c>
    </row>
    <row r="845" spans="49:49" x14ac:dyDescent="0.25">
      <c r="AW845" s="33">
        <v>0</v>
      </c>
    </row>
    <row r="846" spans="49:49" x14ac:dyDescent="0.25">
      <c r="AW846" s="33">
        <v>0</v>
      </c>
    </row>
    <row r="847" spans="49:49" x14ac:dyDescent="0.25">
      <c r="AW847" s="33">
        <v>0</v>
      </c>
    </row>
    <row r="848" spans="49:49" x14ac:dyDescent="0.25">
      <c r="AW848" s="33">
        <v>0</v>
      </c>
    </row>
    <row r="849" spans="49:49" x14ac:dyDescent="0.25">
      <c r="AW849" s="33">
        <v>0</v>
      </c>
    </row>
    <row r="850" spans="49:49" x14ac:dyDescent="0.25">
      <c r="AW850" s="33">
        <v>0</v>
      </c>
    </row>
    <row r="851" spans="49:49" x14ac:dyDescent="0.25">
      <c r="AW851" s="33">
        <v>0</v>
      </c>
    </row>
    <row r="852" spans="49:49" x14ac:dyDescent="0.25">
      <c r="AW852" s="33">
        <v>0</v>
      </c>
    </row>
    <row r="853" spans="49:49" x14ac:dyDescent="0.25">
      <c r="AW853" s="33">
        <v>0</v>
      </c>
    </row>
    <row r="854" spans="49:49" x14ac:dyDescent="0.25">
      <c r="AW854" s="33">
        <v>0</v>
      </c>
    </row>
    <row r="855" spans="49:49" x14ac:dyDescent="0.25">
      <c r="AW855" s="33">
        <v>0</v>
      </c>
    </row>
    <row r="856" spans="49:49" x14ac:dyDescent="0.25">
      <c r="AW856" s="33">
        <v>0</v>
      </c>
    </row>
    <row r="857" spans="49:49" x14ac:dyDescent="0.25">
      <c r="AW857" s="33">
        <v>0</v>
      </c>
    </row>
    <row r="858" spans="49:49" x14ac:dyDescent="0.25">
      <c r="AW858" s="33">
        <v>0</v>
      </c>
    </row>
    <row r="859" spans="49:49" x14ac:dyDescent="0.25">
      <c r="AW859" s="33">
        <v>0</v>
      </c>
    </row>
    <row r="860" spans="49:49" x14ac:dyDescent="0.25">
      <c r="AW860" s="33">
        <v>0</v>
      </c>
    </row>
    <row r="861" spans="49:49" x14ac:dyDescent="0.25">
      <c r="AW861" s="33">
        <v>0</v>
      </c>
    </row>
    <row r="862" spans="49:49" x14ac:dyDescent="0.25">
      <c r="AW862" s="33">
        <v>0</v>
      </c>
    </row>
    <row r="863" spans="49:49" x14ac:dyDescent="0.25">
      <c r="AW863" s="33">
        <v>0</v>
      </c>
    </row>
    <row r="864" spans="49:49" x14ac:dyDescent="0.25">
      <c r="AW864" s="33">
        <v>0</v>
      </c>
    </row>
    <row r="865" spans="49:49" x14ac:dyDescent="0.25">
      <c r="AW865" s="33">
        <v>0</v>
      </c>
    </row>
    <row r="866" spans="49:49" x14ac:dyDescent="0.25">
      <c r="AW866" s="33">
        <v>0</v>
      </c>
    </row>
    <row r="867" spans="49:49" x14ac:dyDescent="0.25">
      <c r="AW867" s="33">
        <v>0</v>
      </c>
    </row>
    <row r="868" spans="49:49" x14ac:dyDescent="0.25">
      <c r="AW868" s="33">
        <v>0</v>
      </c>
    </row>
    <row r="869" spans="49:49" x14ac:dyDescent="0.25">
      <c r="AW869" s="33">
        <v>0</v>
      </c>
    </row>
    <row r="870" spans="49:49" x14ac:dyDescent="0.25">
      <c r="AW870" s="33">
        <v>0</v>
      </c>
    </row>
    <row r="871" spans="49:49" x14ac:dyDescent="0.25">
      <c r="AW871" s="33">
        <v>0</v>
      </c>
    </row>
    <row r="872" spans="49:49" x14ac:dyDescent="0.25">
      <c r="AW872" s="33">
        <v>0</v>
      </c>
    </row>
    <row r="873" spans="49:49" x14ac:dyDescent="0.25">
      <c r="AW873" s="33">
        <v>0</v>
      </c>
    </row>
    <row r="874" spans="49:49" x14ac:dyDescent="0.25">
      <c r="AW874" s="33">
        <v>0</v>
      </c>
    </row>
    <row r="875" spans="49:49" x14ac:dyDescent="0.25">
      <c r="AW875" s="33">
        <v>0</v>
      </c>
    </row>
    <row r="876" spans="49:49" x14ac:dyDescent="0.25">
      <c r="AW876" s="33">
        <v>0</v>
      </c>
    </row>
    <row r="877" spans="49:49" x14ac:dyDescent="0.25">
      <c r="AW877" s="33">
        <v>0</v>
      </c>
    </row>
    <row r="878" spans="49:49" x14ac:dyDescent="0.25">
      <c r="AW878" s="33">
        <v>0</v>
      </c>
    </row>
    <row r="879" spans="49:49" x14ac:dyDescent="0.25">
      <c r="AW879" s="33">
        <v>0</v>
      </c>
    </row>
    <row r="880" spans="49:49" x14ac:dyDescent="0.25">
      <c r="AW880" s="33">
        <v>0</v>
      </c>
    </row>
    <row r="881" spans="49:49" x14ac:dyDescent="0.25">
      <c r="AW881" s="33">
        <v>0</v>
      </c>
    </row>
    <row r="882" spans="49:49" x14ac:dyDescent="0.25">
      <c r="AW882" s="33">
        <v>0</v>
      </c>
    </row>
    <row r="883" spans="49:49" x14ac:dyDescent="0.25">
      <c r="AW883" s="33">
        <v>0</v>
      </c>
    </row>
    <row r="884" spans="49:49" x14ac:dyDescent="0.25">
      <c r="AW884" s="33">
        <v>0</v>
      </c>
    </row>
    <row r="885" spans="49:49" x14ac:dyDescent="0.25">
      <c r="AW885" s="33">
        <v>0</v>
      </c>
    </row>
    <row r="886" spans="49:49" x14ac:dyDescent="0.25">
      <c r="AW886" s="33">
        <v>0</v>
      </c>
    </row>
    <row r="887" spans="49:49" x14ac:dyDescent="0.25">
      <c r="AW887" s="33">
        <v>0</v>
      </c>
    </row>
    <row r="888" spans="49:49" x14ac:dyDescent="0.25">
      <c r="AW888" s="33">
        <v>0</v>
      </c>
    </row>
    <row r="889" spans="49:49" x14ac:dyDescent="0.25">
      <c r="AW889" s="33">
        <v>0</v>
      </c>
    </row>
    <row r="890" spans="49:49" x14ac:dyDescent="0.25">
      <c r="AW890" s="33">
        <v>0</v>
      </c>
    </row>
    <row r="891" spans="49:49" x14ac:dyDescent="0.25">
      <c r="AW891" s="33">
        <v>0</v>
      </c>
    </row>
    <row r="892" spans="49:49" x14ac:dyDescent="0.25">
      <c r="AW892" s="33">
        <v>0</v>
      </c>
    </row>
    <row r="893" spans="49:49" x14ac:dyDescent="0.25">
      <c r="AW893" s="33">
        <v>0</v>
      </c>
    </row>
    <row r="894" spans="49:49" x14ac:dyDescent="0.25">
      <c r="AW894" s="33">
        <v>0</v>
      </c>
    </row>
    <row r="895" spans="49:49" x14ac:dyDescent="0.25">
      <c r="AW895" s="33">
        <v>0</v>
      </c>
    </row>
    <row r="896" spans="49:49" x14ac:dyDescent="0.25">
      <c r="AW896" s="33">
        <v>0</v>
      </c>
    </row>
    <row r="897" spans="49:49" x14ac:dyDescent="0.25">
      <c r="AW897" s="33">
        <v>0</v>
      </c>
    </row>
    <row r="898" spans="49:49" x14ac:dyDescent="0.25">
      <c r="AW898" s="33">
        <v>0</v>
      </c>
    </row>
    <row r="899" spans="49:49" x14ac:dyDescent="0.25">
      <c r="AW899" s="33">
        <v>0</v>
      </c>
    </row>
    <row r="900" spans="49:49" x14ac:dyDescent="0.25">
      <c r="AW900" s="33">
        <v>0</v>
      </c>
    </row>
    <row r="901" spans="49:49" x14ac:dyDescent="0.25">
      <c r="AW901" s="33">
        <v>0</v>
      </c>
    </row>
    <row r="902" spans="49:49" x14ac:dyDescent="0.25">
      <c r="AW902" s="33">
        <v>0</v>
      </c>
    </row>
    <row r="903" spans="49:49" x14ac:dyDescent="0.25">
      <c r="AW903" s="33">
        <v>0</v>
      </c>
    </row>
    <row r="904" spans="49:49" x14ac:dyDescent="0.25">
      <c r="AW904" s="33">
        <v>0</v>
      </c>
    </row>
    <row r="905" spans="49:49" x14ac:dyDescent="0.25">
      <c r="AW905" s="33">
        <v>0</v>
      </c>
    </row>
    <row r="906" spans="49:49" x14ac:dyDescent="0.25">
      <c r="AW906" s="33">
        <v>0</v>
      </c>
    </row>
    <row r="907" spans="49:49" x14ac:dyDescent="0.25">
      <c r="AW907" s="33">
        <v>0</v>
      </c>
    </row>
    <row r="908" spans="49:49" x14ac:dyDescent="0.25">
      <c r="AW908" s="33">
        <v>0</v>
      </c>
    </row>
    <row r="909" spans="49:49" x14ac:dyDescent="0.25">
      <c r="AW909" s="33">
        <v>0</v>
      </c>
    </row>
    <row r="910" spans="49:49" x14ac:dyDescent="0.25">
      <c r="AW910" s="33">
        <v>0</v>
      </c>
    </row>
    <row r="911" spans="49:49" x14ac:dyDescent="0.25">
      <c r="AW911" s="33">
        <v>0</v>
      </c>
    </row>
    <row r="912" spans="49:49" x14ac:dyDescent="0.25">
      <c r="AW912" s="33">
        <v>0</v>
      </c>
    </row>
    <row r="913" spans="49:49" x14ac:dyDescent="0.25">
      <c r="AW913" s="33">
        <v>0</v>
      </c>
    </row>
    <row r="914" spans="49:49" x14ac:dyDescent="0.25">
      <c r="AW914" s="33">
        <v>0</v>
      </c>
    </row>
    <row r="915" spans="49:49" x14ac:dyDescent="0.25">
      <c r="AW915" s="33">
        <v>0</v>
      </c>
    </row>
    <row r="916" spans="49:49" x14ac:dyDescent="0.25">
      <c r="AW916" s="33">
        <v>0</v>
      </c>
    </row>
    <row r="917" spans="49:49" x14ac:dyDescent="0.25">
      <c r="AW917" s="33">
        <v>0</v>
      </c>
    </row>
    <row r="918" spans="49:49" x14ac:dyDescent="0.25">
      <c r="AW918" s="33">
        <v>0</v>
      </c>
    </row>
    <row r="919" spans="49:49" x14ac:dyDescent="0.25">
      <c r="AW919" s="33">
        <v>0</v>
      </c>
    </row>
    <row r="920" spans="49:49" x14ac:dyDescent="0.25">
      <c r="AW920" s="33">
        <v>0</v>
      </c>
    </row>
    <row r="921" spans="49:49" x14ac:dyDescent="0.25">
      <c r="AW921" s="33">
        <v>0</v>
      </c>
    </row>
    <row r="922" spans="49:49" x14ac:dyDescent="0.25">
      <c r="AW922" s="33">
        <v>0</v>
      </c>
    </row>
    <row r="923" spans="49:49" x14ac:dyDescent="0.25">
      <c r="AW923" s="33">
        <v>0</v>
      </c>
    </row>
    <row r="924" spans="49:49" x14ac:dyDescent="0.25">
      <c r="AW924" s="33">
        <v>0</v>
      </c>
    </row>
    <row r="925" spans="49:49" x14ac:dyDescent="0.25">
      <c r="AW925" s="33">
        <v>0</v>
      </c>
    </row>
    <row r="926" spans="49:49" x14ac:dyDescent="0.25">
      <c r="AW926" s="33">
        <v>0</v>
      </c>
    </row>
    <row r="927" spans="49:49" x14ac:dyDescent="0.25">
      <c r="AW927" s="33">
        <v>0</v>
      </c>
    </row>
    <row r="928" spans="49:49" x14ac:dyDescent="0.25">
      <c r="AW928" s="33">
        <v>0</v>
      </c>
    </row>
    <row r="929" spans="49:49" x14ac:dyDescent="0.25">
      <c r="AW929" s="33">
        <v>0</v>
      </c>
    </row>
    <row r="930" spans="49:49" x14ac:dyDescent="0.25">
      <c r="AW930" s="33">
        <v>0</v>
      </c>
    </row>
    <row r="931" spans="49:49" x14ac:dyDescent="0.25">
      <c r="AW931" s="33">
        <v>0</v>
      </c>
    </row>
    <row r="932" spans="49:49" x14ac:dyDescent="0.25">
      <c r="AW932" s="33">
        <v>0</v>
      </c>
    </row>
    <row r="933" spans="49:49" x14ac:dyDescent="0.25">
      <c r="AW933" s="33">
        <v>0</v>
      </c>
    </row>
    <row r="934" spans="49:49" x14ac:dyDescent="0.25">
      <c r="AW934" s="33">
        <v>0</v>
      </c>
    </row>
    <row r="935" spans="49:49" x14ac:dyDescent="0.25">
      <c r="AW935" s="33">
        <v>0</v>
      </c>
    </row>
    <row r="936" spans="49:49" x14ac:dyDescent="0.25">
      <c r="AW936" s="33">
        <v>0</v>
      </c>
    </row>
    <row r="937" spans="49:49" x14ac:dyDescent="0.25">
      <c r="AW937" s="33">
        <v>0</v>
      </c>
    </row>
    <row r="938" spans="49:49" x14ac:dyDescent="0.25">
      <c r="AW938" s="33">
        <v>0</v>
      </c>
    </row>
    <row r="939" spans="49:49" x14ac:dyDescent="0.25">
      <c r="AW939" s="33">
        <v>0</v>
      </c>
    </row>
    <row r="940" spans="49:49" x14ac:dyDescent="0.25">
      <c r="AW940" s="33">
        <v>0</v>
      </c>
    </row>
    <row r="941" spans="49:49" x14ac:dyDescent="0.25">
      <c r="AW941" s="33">
        <v>0</v>
      </c>
    </row>
    <row r="942" spans="49:49" x14ac:dyDescent="0.25">
      <c r="AW942" s="33">
        <v>0</v>
      </c>
    </row>
    <row r="943" spans="49:49" x14ac:dyDescent="0.25">
      <c r="AW943" s="33">
        <v>0</v>
      </c>
    </row>
    <row r="944" spans="49:49" x14ac:dyDescent="0.25">
      <c r="AW944" s="33">
        <v>0</v>
      </c>
    </row>
    <row r="945" spans="49:49" x14ac:dyDescent="0.25">
      <c r="AW945" s="33">
        <v>0</v>
      </c>
    </row>
    <row r="946" spans="49:49" x14ac:dyDescent="0.25">
      <c r="AW946" s="33">
        <v>0</v>
      </c>
    </row>
    <row r="947" spans="49:49" x14ac:dyDescent="0.25">
      <c r="AW947" s="33">
        <v>0</v>
      </c>
    </row>
    <row r="948" spans="49:49" x14ac:dyDescent="0.25">
      <c r="AW948" s="33">
        <v>0</v>
      </c>
    </row>
    <row r="949" spans="49:49" x14ac:dyDescent="0.25">
      <c r="AW949" s="33">
        <v>0</v>
      </c>
    </row>
    <row r="950" spans="49:49" x14ac:dyDescent="0.25">
      <c r="AW950" s="33">
        <v>0</v>
      </c>
    </row>
    <row r="951" spans="49:49" x14ac:dyDescent="0.25">
      <c r="AW951" s="33">
        <v>0</v>
      </c>
    </row>
    <row r="952" spans="49:49" x14ac:dyDescent="0.25">
      <c r="AW952" s="33">
        <v>0</v>
      </c>
    </row>
    <row r="953" spans="49:49" x14ac:dyDescent="0.25">
      <c r="AW953" s="33">
        <v>0</v>
      </c>
    </row>
    <row r="954" spans="49:49" x14ac:dyDescent="0.25">
      <c r="AW954" s="33">
        <v>0</v>
      </c>
    </row>
    <row r="955" spans="49:49" x14ac:dyDescent="0.25">
      <c r="AW955" s="33">
        <v>0</v>
      </c>
    </row>
    <row r="956" spans="49:49" x14ac:dyDescent="0.25">
      <c r="AW956" s="33">
        <v>0</v>
      </c>
    </row>
    <row r="957" spans="49:49" x14ac:dyDescent="0.25">
      <c r="AW957" s="33">
        <v>0</v>
      </c>
    </row>
    <row r="958" spans="49:49" x14ac:dyDescent="0.25">
      <c r="AW958" s="33">
        <v>0</v>
      </c>
    </row>
    <row r="959" spans="49:49" x14ac:dyDescent="0.25">
      <c r="AW959" s="33">
        <v>0</v>
      </c>
    </row>
    <row r="960" spans="49:49" x14ac:dyDescent="0.25">
      <c r="AW960" s="33">
        <v>0</v>
      </c>
    </row>
    <row r="961" spans="49:49" x14ac:dyDescent="0.25">
      <c r="AW961" s="33">
        <v>0</v>
      </c>
    </row>
    <row r="962" spans="49:49" x14ac:dyDescent="0.25">
      <c r="AW962" s="33">
        <v>0</v>
      </c>
    </row>
    <row r="963" spans="49:49" x14ac:dyDescent="0.25">
      <c r="AW963" s="33">
        <v>0</v>
      </c>
    </row>
    <row r="964" spans="49:49" x14ac:dyDescent="0.25">
      <c r="AW964" s="33">
        <v>0</v>
      </c>
    </row>
    <row r="965" spans="49:49" x14ac:dyDescent="0.25">
      <c r="AW965" s="33">
        <v>0</v>
      </c>
    </row>
    <row r="966" spans="49:49" x14ac:dyDescent="0.25">
      <c r="AW966" s="33">
        <v>0</v>
      </c>
    </row>
    <row r="967" spans="49:49" x14ac:dyDescent="0.25">
      <c r="AW967" s="33">
        <v>0</v>
      </c>
    </row>
    <row r="968" spans="49:49" x14ac:dyDescent="0.25">
      <c r="AW968" s="33">
        <v>0</v>
      </c>
    </row>
    <row r="969" spans="49:49" x14ac:dyDescent="0.25">
      <c r="AW969" s="33">
        <v>0</v>
      </c>
    </row>
    <row r="970" spans="49:49" x14ac:dyDescent="0.25">
      <c r="AW970" s="33">
        <v>0</v>
      </c>
    </row>
    <row r="971" spans="49:49" x14ac:dyDescent="0.25">
      <c r="AW971" s="33">
        <v>0</v>
      </c>
    </row>
    <row r="972" spans="49:49" x14ac:dyDescent="0.25">
      <c r="AW972" s="33">
        <v>0</v>
      </c>
    </row>
    <row r="973" spans="49:49" x14ac:dyDescent="0.25">
      <c r="AW973" s="33">
        <v>0</v>
      </c>
    </row>
    <row r="974" spans="49:49" x14ac:dyDescent="0.25">
      <c r="AW974" s="33">
        <v>0</v>
      </c>
    </row>
    <row r="975" spans="49:49" x14ac:dyDescent="0.25">
      <c r="AW975" s="33">
        <v>0</v>
      </c>
    </row>
    <row r="976" spans="49:49" x14ac:dyDescent="0.25">
      <c r="AW976" s="33">
        <v>0</v>
      </c>
    </row>
    <row r="977" spans="49:49" x14ac:dyDescent="0.25">
      <c r="AW977" s="33">
        <v>0</v>
      </c>
    </row>
    <row r="978" spans="49:49" x14ac:dyDescent="0.25">
      <c r="AW978" s="33">
        <v>0</v>
      </c>
    </row>
    <row r="979" spans="49:49" x14ac:dyDescent="0.25">
      <c r="AW979" s="33">
        <v>0</v>
      </c>
    </row>
    <row r="980" spans="49:49" x14ac:dyDescent="0.25">
      <c r="AW980" s="33">
        <v>0</v>
      </c>
    </row>
    <row r="981" spans="49:49" x14ac:dyDescent="0.25">
      <c r="AW981" s="33">
        <v>0</v>
      </c>
    </row>
    <row r="982" spans="49:49" x14ac:dyDescent="0.25">
      <c r="AW982" s="33">
        <v>0</v>
      </c>
    </row>
    <row r="983" spans="49:49" x14ac:dyDescent="0.25">
      <c r="AW983" s="33">
        <v>0</v>
      </c>
    </row>
    <row r="984" spans="49:49" x14ac:dyDescent="0.25">
      <c r="AW984" s="33">
        <v>0</v>
      </c>
    </row>
    <row r="985" spans="49:49" x14ac:dyDescent="0.25">
      <c r="AW985" s="33">
        <v>0</v>
      </c>
    </row>
    <row r="986" spans="49:49" x14ac:dyDescent="0.25">
      <c r="AW986" s="33">
        <v>0</v>
      </c>
    </row>
    <row r="987" spans="49:49" x14ac:dyDescent="0.25">
      <c r="AW987" s="33">
        <v>0</v>
      </c>
    </row>
    <row r="988" spans="49:49" x14ac:dyDescent="0.25">
      <c r="AW988" s="33">
        <v>0</v>
      </c>
    </row>
    <row r="989" spans="49:49" x14ac:dyDescent="0.25">
      <c r="AW989" s="33">
        <v>0</v>
      </c>
    </row>
    <row r="990" spans="49:49" x14ac:dyDescent="0.25">
      <c r="AW990" s="33">
        <v>0</v>
      </c>
    </row>
    <row r="991" spans="49:49" x14ac:dyDescent="0.25">
      <c r="AW991" s="33">
        <v>0</v>
      </c>
    </row>
    <row r="992" spans="49:49" x14ac:dyDescent="0.25">
      <c r="AW992" s="33">
        <v>0</v>
      </c>
    </row>
    <row r="993" spans="49:49" x14ac:dyDescent="0.25">
      <c r="AW993" s="33">
        <v>0</v>
      </c>
    </row>
    <row r="994" spans="49:49" x14ac:dyDescent="0.25">
      <c r="AW994" s="33">
        <v>0</v>
      </c>
    </row>
    <row r="995" spans="49:49" x14ac:dyDescent="0.25">
      <c r="AW995" s="33">
        <v>0</v>
      </c>
    </row>
    <row r="996" spans="49:49" x14ac:dyDescent="0.25">
      <c r="AW996" s="33">
        <v>0</v>
      </c>
    </row>
    <row r="997" spans="49:49" x14ac:dyDescent="0.25">
      <c r="AW997" s="33">
        <v>0</v>
      </c>
    </row>
    <row r="998" spans="49:49" x14ac:dyDescent="0.25">
      <c r="AW998" s="33">
        <v>0</v>
      </c>
    </row>
    <row r="999" spans="49:49" x14ac:dyDescent="0.25">
      <c r="AW999" s="33">
        <v>0</v>
      </c>
    </row>
    <row r="1000" spans="49:49" x14ac:dyDescent="0.25">
      <c r="AW1000" s="33">
        <v>0</v>
      </c>
    </row>
    <row r="1001" spans="49:49" x14ac:dyDescent="0.25">
      <c r="AW1001" s="33">
        <v>0</v>
      </c>
    </row>
    <row r="1002" spans="49:49" x14ac:dyDescent="0.25">
      <c r="AW1002" s="33">
        <v>0</v>
      </c>
    </row>
    <row r="1003" spans="49:49" x14ac:dyDescent="0.25">
      <c r="AW1003" s="33">
        <v>0</v>
      </c>
    </row>
    <row r="1004" spans="49:49" x14ac:dyDescent="0.25">
      <c r="AW1004" s="33">
        <v>0</v>
      </c>
    </row>
    <row r="1005" spans="49:49" x14ac:dyDescent="0.25">
      <c r="AW1005" s="33">
        <v>0</v>
      </c>
    </row>
    <row r="1006" spans="49:49" x14ac:dyDescent="0.25">
      <c r="AW1006" s="33">
        <v>0</v>
      </c>
    </row>
    <row r="1007" spans="49:49" x14ac:dyDescent="0.25">
      <c r="AW1007" s="33">
        <v>0</v>
      </c>
    </row>
    <row r="1008" spans="49:49" x14ac:dyDescent="0.25">
      <c r="AW1008" s="33">
        <v>0</v>
      </c>
    </row>
    <row r="1009" spans="49:49" x14ac:dyDescent="0.25">
      <c r="AW1009" s="33">
        <v>0</v>
      </c>
    </row>
    <row r="1010" spans="49:49" x14ac:dyDescent="0.25">
      <c r="AW1010" s="33">
        <v>0</v>
      </c>
    </row>
    <row r="1011" spans="49:49" x14ac:dyDescent="0.25">
      <c r="AW1011" s="33">
        <v>0</v>
      </c>
    </row>
    <row r="1012" spans="49:49" x14ac:dyDescent="0.25">
      <c r="AW1012" s="33">
        <v>0</v>
      </c>
    </row>
    <row r="1013" spans="49:49" x14ac:dyDescent="0.25">
      <c r="AW1013" s="33">
        <v>0</v>
      </c>
    </row>
    <row r="1014" spans="49:49" x14ac:dyDescent="0.25">
      <c r="AW1014" s="33">
        <v>0</v>
      </c>
    </row>
    <row r="1015" spans="49:49" x14ac:dyDescent="0.25">
      <c r="AW1015" s="33">
        <v>0</v>
      </c>
    </row>
    <row r="1016" spans="49:49" x14ac:dyDescent="0.25">
      <c r="AW1016" s="33">
        <v>0</v>
      </c>
    </row>
    <row r="1017" spans="49:49" x14ac:dyDescent="0.25">
      <c r="AW1017" s="33">
        <v>0</v>
      </c>
    </row>
    <row r="1018" spans="49:49" x14ac:dyDescent="0.25">
      <c r="AW1018" s="33">
        <v>0</v>
      </c>
    </row>
    <row r="1019" spans="49:49" x14ac:dyDescent="0.25">
      <c r="AW1019" s="33">
        <v>0</v>
      </c>
    </row>
    <row r="1020" spans="49:49" x14ac:dyDescent="0.25">
      <c r="AW1020" s="33">
        <v>0</v>
      </c>
    </row>
    <row r="1021" spans="49:49" x14ac:dyDescent="0.25">
      <c r="AW1021" s="33">
        <v>0</v>
      </c>
    </row>
    <row r="1022" spans="49:49" x14ac:dyDescent="0.25">
      <c r="AW1022" s="33">
        <v>0</v>
      </c>
    </row>
    <row r="1023" spans="49:49" x14ac:dyDescent="0.25">
      <c r="AW1023" s="33">
        <v>0</v>
      </c>
    </row>
    <row r="1024" spans="49:49" x14ac:dyDescent="0.25">
      <c r="AW1024" s="33">
        <v>0</v>
      </c>
    </row>
    <row r="1025" spans="49:49" x14ac:dyDescent="0.25">
      <c r="AW1025" s="33">
        <v>0</v>
      </c>
    </row>
    <row r="1026" spans="49:49" x14ac:dyDescent="0.25">
      <c r="AW1026" s="33">
        <v>0</v>
      </c>
    </row>
    <row r="1027" spans="49:49" x14ac:dyDescent="0.25">
      <c r="AW1027" s="33">
        <v>0</v>
      </c>
    </row>
    <row r="1028" spans="49:49" x14ac:dyDescent="0.25">
      <c r="AW1028" s="33">
        <v>0</v>
      </c>
    </row>
    <row r="1029" spans="49:49" x14ac:dyDescent="0.25">
      <c r="AW1029" s="33">
        <v>0</v>
      </c>
    </row>
    <row r="1030" spans="49:49" x14ac:dyDescent="0.25">
      <c r="AW1030" s="33">
        <v>0</v>
      </c>
    </row>
    <row r="1031" spans="49:49" x14ac:dyDescent="0.25">
      <c r="AW1031" s="33">
        <v>0</v>
      </c>
    </row>
    <row r="1032" spans="49:49" x14ac:dyDescent="0.25">
      <c r="AW1032" s="33">
        <v>0</v>
      </c>
    </row>
    <row r="1033" spans="49:49" x14ac:dyDescent="0.25">
      <c r="AW1033" s="33">
        <v>0</v>
      </c>
    </row>
    <row r="1034" spans="49:49" x14ac:dyDescent="0.25">
      <c r="AW1034" s="33">
        <v>0</v>
      </c>
    </row>
    <row r="1035" spans="49:49" x14ac:dyDescent="0.25">
      <c r="AW1035" s="33">
        <v>0</v>
      </c>
    </row>
    <row r="1036" spans="49:49" x14ac:dyDescent="0.25">
      <c r="AW1036" s="33">
        <v>0</v>
      </c>
    </row>
    <row r="1037" spans="49:49" x14ac:dyDescent="0.25">
      <c r="AW1037" s="33">
        <v>0</v>
      </c>
    </row>
    <row r="1038" spans="49:49" x14ac:dyDescent="0.25">
      <c r="AW1038" s="33">
        <v>0</v>
      </c>
    </row>
    <row r="1039" spans="49:49" x14ac:dyDescent="0.25">
      <c r="AW1039" s="33">
        <v>0</v>
      </c>
    </row>
    <row r="1040" spans="49:49" x14ac:dyDescent="0.25">
      <c r="AW1040" s="33">
        <v>0</v>
      </c>
    </row>
    <row r="1041" spans="49:49" x14ac:dyDescent="0.25">
      <c r="AW1041" s="33">
        <v>0</v>
      </c>
    </row>
    <row r="1042" spans="49:49" x14ac:dyDescent="0.25">
      <c r="AW1042" s="33">
        <v>0</v>
      </c>
    </row>
    <row r="1043" spans="49:49" x14ac:dyDescent="0.25">
      <c r="AW1043" s="33">
        <v>0</v>
      </c>
    </row>
    <row r="1044" spans="49:49" x14ac:dyDescent="0.25">
      <c r="AW1044" s="33">
        <v>0</v>
      </c>
    </row>
    <row r="1045" spans="49:49" x14ac:dyDescent="0.25">
      <c r="AW1045" s="33">
        <v>0</v>
      </c>
    </row>
    <row r="1046" spans="49:49" x14ac:dyDescent="0.25">
      <c r="AW1046" s="33">
        <v>0</v>
      </c>
    </row>
    <row r="1047" spans="49:49" x14ac:dyDescent="0.25">
      <c r="AW1047" s="33">
        <v>0</v>
      </c>
    </row>
    <row r="1048" spans="49:49" x14ac:dyDescent="0.25">
      <c r="AW1048" s="33">
        <v>0</v>
      </c>
    </row>
    <row r="1049" spans="49:49" x14ac:dyDescent="0.25">
      <c r="AW1049" s="33">
        <v>0</v>
      </c>
    </row>
    <row r="1050" spans="49:49" x14ac:dyDescent="0.25">
      <c r="AW1050" s="33">
        <v>0</v>
      </c>
    </row>
    <row r="1051" spans="49:49" x14ac:dyDescent="0.25">
      <c r="AW1051" s="33">
        <v>0</v>
      </c>
    </row>
    <row r="1052" spans="49:49" x14ac:dyDescent="0.25">
      <c r="AW1052" s="33">
        <v>0</v>
      </c>
    </row>
    <row r="1053" spans="49:49" x14ac:dyDescent="0.25">
      <c r="AW1053" s="33">
        <v>0</v>
      </c>
    </row>
    <row r="1054" spans="49:49" x14ac:dyDescent="0.25">
      <c r="AW1054" s="33">
        <v>0</v>
      </c>
    </row>
    <row r="1055" spans="49:49" x14ac:dyDescent="0.25">
      <c r="AW1055" s="33">
        <v>0</v>
      </c>
    </row>
    <row r="1056" spans="49:49" x14ac:dyDescent="0.25">
      <c r="AW1056" s="33">
        <v>0</v>
      </c>
    </row>
    <row r="1057" spans="49:49" x14ac:dyDescent="0.25">
      <c r="AW1057" s="33">
        <v>0</v>
      </c>
    </row>
    <row r="1058" spans="49:49" x14ac:dyDescent="0.25">
      <c r="AW1058" s="33">
        <v>0</v>
      </c>
    </row>
    <row r="1059" spans="49:49" x14ac:dyDescent="0.25">
      <c r="AW1059" s="33">
        <v>0</v>
      </c>
    </row>
    <row r="1060" spans="49:49" x14ac:dyDescent="0.25">
      <c r="AW1060" s="33">
        <v>0</v>
      </c>
    </row>
    <row r="1061" spans="49:49" x14ac:dyDescent="0.25">
      <c r="AW1061" s="33">
        <v>0</v>
      </c>
    </row>
    <row r="1062" spans="49:49" x14ac:dyDescent="0.25">
      <c r="AW1062" s="33">
        <v>0</v>
      </c>
    </row>
    <row r="1063" spans="49:49" x14ac:dyDescent="0.25">
      <c r="AW1063" s="33">
        <v>0</v>
      </c>
    </row>
    <row r="1064" spans="49:49" x14ac:dyDescent="0.25">
      <c r="AW1064" s="33">
        <v>0</v>
      </c>
    </row>
    <row r="1065" spans="49:49" x14ac:dyDescent="0.25">
      <c r="AW1065" s="33">
        <v>0</v>
      </c>
    </row>
    <row r="1066" spans="49:49" x14ac:dyDescent="0.25">
      <c r="AW1066" s="33">
        <v>0</v>
      </c>
    </row>
    <row r="1067" spans="49:49" x14ac:dyDescent="0.25">
      <c r="AW1067" s="33">
        <v>0</v>
      </c>
    </row>
    <row r="1068" spans="49:49" x14ac:dyDescent="0.25">
      <c r="AW1068" s="33">
        <v>0</v>
      </c>
    </row>
    <row r="1069" spans="49:49" x14ac:dyDescent="0.25">
      <c r="AW1069" s="33">
        <v>0</v>
      </c>
    </row>
    <row r="1070" spans="49:49" x14ac:dyDescent="0.25">
      <c r="AW1070" s="33">
        <v>0</v>
      </c>
    </row>
    <row r="1071" spans="49:49" x14ac:dyDescent="0.25">
      <c r="AW1071" s="33">
        <v>0</v>
      </c>
    </row>
    <row r="1072" spans="49:49" x14ac:dyDescent="0.25">
      <c r="AW1072" s="33">
        <v>0</v>
      </c>
    </row>
    <row r="1073" spans="49:49" x14ac:dyDescent="0.25">
      <c r="AW1073" s="33">
        <v>0</v>
      </c>
    </row>
    <row r="1074" spans="49:49" x14ac:dyDescent="0.25">
      <c r="AW1074" s="33">
        <v>0</v>
      </c>
    </row>
    <row r="1075" spans="49:49" x14ac:dyDescent="0.25">
      <c r="AW1075" s="33">
        <v>0</v>
      </c>
    </row>
    <row r="1076" spans="49:49" x14ac:dyDescent="0.25">
      <c r="AW1076" s="33">
        <v>0</v>
      </c>
    </row>
    <row r="1077" spans="49:49" x14ac:dyDescent="0.25">
      <c r="AW1077" s="33">
        <v>0</v>
      </c>
    </row>
    <row r="1078" spans="49:49" x14ac:dyDescent="0.25">
      <c r="AW1078" s="33">
        <v>0</v>
      </c>
    </row>
    <row r="1079" spans="49:49" x14ac:dyDescent="0.25">
      <c r="AW1079" s="33">
        <v>0</v>
      </c>
    </row>
    <row r="1080" spans="49:49" x14ac:dyDescent="0.25">
      <c r="AW1080" s="33">
        <v>0</v>
      </c>
    </row>
    <row r="1081" spans="49:49" x14ac:dyDescent="0.25">
      <c r="AW1081" s="33">
        <v>0</v>
      </c>
    </row>
    <row r="1082" spans="49:49" x14ac:dyDescent="0.25">
      <c r="AW1082" s="33">
        <v>0</v>
      </c>
    </row>
    <row r="1083" spans="49:49" x14ac:dyDescent="0.25">
      <c r="AW1083" s="33">
        <v>0</v>
      </c>
    </row>
    <row r="1084" spans="49:49" x14ac:dyDescent="0.25">
      <c r="AW1084" s="33">
        <v>0</v>
      </c>
    </row>
    <row r="1085" spans="49:49" x14ac:dyDescent="0.25">
      <c r="AW1085" s="33">
        <v>0</v>
      </c>
    </row>
    <row r="1086" spans="49:49" x14ac:dyDescent="0.25">
      <c r="AW1086" s="33">
        <v>0</v>
      </c>
    </row>
    <row r="1087" spans="49:49" x14ac:dyDescent="0.25">
      <c r="AW1087" s="33">
        <v>0</v>
      </c>
    </row>
    <row r="1088" spans="49:49" x14ac:dyDescent="0.25">
      <c r="AW1088" s="33">
        <v>0</v>
      </c>
    </row>
    <row r="1089" spans="49:49" x14ac:dyDescent="0.25">
      <c r="AW1089" s="33">
        <v>0</v>
      </c>
    </row>
    <row r="1090" spans="49:49" x14ac:dyDescent="0.25">
      <c r="AW1090" s="33">
        <v>0</v>
      </c>
    </row>
    <row r="1091" spans="49:49" x14ac:dyDescent="0.25">
      <c r="AW1091" s="33">
        <v>0</v>
      </c>
    </row>
    <row r="1092" spans="49:49" x14ac:dyDescent="0.25">
      <c r="AW1092" s="33">
        <v>0</v>
      </c>
    </row>
    <row r="1093" spans="49:49" x14ac:dyDescent="0.25">
      <c r="AW1093" s="33">
        <v>0</v>
      </c>
    </row>
    <row r="1094" spans="49:49" x14ac:dyDescent="0.25">
      <c r="AW1094" s="33">
        <v>0</v>
      </c>
    </row>
    <row r="1095" spans="49:49" x14ac:dyDescent="0.25">
      <c r="AW1095" s="33">
        <v>0</v>
      </c>
    </row>
    <row r="1096" spans="49:49" x14ac:dyDescent="0.25">
      <c r="AW1096" s="33">
        <v>0</v>
      </c>
    </row>
    <row r="1097" spans="49:49" x14ac:dyDescent="0.25">
      <c r="AW1097" s="33">
        <v>0</v>
      </c>
    </row>
    <row r="1098" spans="49:49" x14ac:dyDescent="0.25">
      <c r="AW1098" s="33">
        <v>0</v>
      </c>
    </row>
    <row r="1099" spans="49:49" x14ac:dyDescent="0.25">
      <c r="AW1099" s="33">
        <v>0</v>
      </c>
    </row>
    <row r="1100" spans="49:49" x14ac:dyDescent="0.25">
      <c r="AW1100" s="33">
        <v>0</v>
      </c>
    </row>
    <row r="1101" spans="49:49" x14ac:dyDescent="0.25">
      <c r="AW1101" s="33">
        <v>0</v>
      </c>
    </row>
    <row r="1102" spans="49:49" x14ac:dyDescent="0.25">
      <c r="AW1102" s="33">
        <v>0</v>
      </c>
    </row>
    <row r="1103" spans="49:49" x14ac:dyDescent="0.25">
      <c r="AW1103" s="33">
        <v>0</v>
      </c>
    </row>
    <row r="1104" spans="49:49" x14ac:dyDescent="0.25">
      <c r="AW1104" s="33">
        <v>0</v>
      </c>
    </row>
    <row r="1105" spans="49:49" x14ac:dyDescent="0.25">
      <c r="AW1105" s="33">
        <v>0</v>
      </c>
    </row>
    <row r="1106" spans="49:49" x14ac:dyDescent="0.25">
      <c r="AW1106" s="33">
        <v>0</v>
      </c>
    </row>
    <row r="1107" spans="49:49" x14ac:dyDescent="0.25">
      <c r="AW1107" s="33">
        <v>0</v>
      </c>
    </row>
    <row r="1108" spans="49:49" x14ac:dyDescent="0.25">
      <c r="AW1108" s="33">
        <v>0</v>
      </c>
    </row>
    <row r="1109" spans="49:49" x14ac:dyDescent="0.25">
      <c r="AW1109" s="33">
        <v>0</v>
      </c>
    </row>
    <row r="1110" spans="49:49" x14ac:dyDescent="0.25">
      <c r="AW1110" s="33">
        <v>0</v>
      </c>
    </row>
    <row r="1111" spans="49:49" x14ac:dyDescent="0.25">
      <c r="AW1111" s="33">
        <v>0</v>
      </c>
    </row>
    <row r="1112" spans="49:49" x14ac:dyDescent="0.25">
      <c r="AW1112" s="33">
        <v>0</v>
      </c>
    </row>
    <row r="1113" spans="49:49" x14ac:dyDescent="0.25">
      <c r="AW1113" s="33">
        <v>0</v>
      </c>
    </row>
    <row r="1114" spans="49:49" x14ac:dyDescent="0.25">
      <c r="AW1114" s="33">
        <v>0</v>
      </c>
    </row>
    <row r="1115" spans="49:49" x14ac:dyDescent="0.25">
      <c r="AW1115" s="33">
        <v>0</v>
      </c>
    </row>
    <row r="1116" spans="49:49" x14ac:dyDescent="0.25">
      <c r="AW1116" s="33">
        <v>0</v>
      </c>
    </row>
    <row r="1117" spans="49:49" x14ac:dyDescent="0.25">
      <c r="AW1117" s="33">
        <v>0</v>
      </c>
    </row>
    <row r="1118" spans="49:49" x14ac:dyDescent="0.25">
      <c r="AW1118" s="33">
        <v>0</v>
      </c>
    </row>
    <row r="1119" spans="49:49" x14ac:dyDescent="0.25">
      <c r="AW1119" s="33">
        <v>0</v>
      </c>
    </row>
    <row r="1120" spans="49:49" x14ac:dyDescent="0.25">
      <c r="AW1120" s="33">
        <v>0</v>
      </c>
    </row>
    <row r="1121" spans="49:49" x14ac:dyDescent="0.25">
      <c r="AW1121" s="33">
        <v>0</v>
      </c>
    </row>
    <row r="1122" spans="49:49" x14ac:dyDescent="0.25">
      <c r="AW1122" s="33">
        <v>0</v>
      </c>
    </row>
    <row r="1123" spans="49:49" x14ac:dyDescent="0.25">
      <c r="AW1123" s="33">
        <v>0</v>
      </c>
    </row>
    <row r="1124" spans="49:49" x14ac:dyDescent="0.25">
      <c r="AW1124" s="33">
        <v>0</v>
      </c>
    </row>
    <row r="1125" spans="49:49" x14ac:dyDescent="0.25">
      <c r="AW1125" s="33">
        <v>0</v>
      </c>
    </row>
    <row r="1126" spans="49:49" x14ac:dyDescent="0.25">
      <c r="AW1126" s="33">
        <v>0</v>
      </c>
    </row>
    <row r="1127" spans="49:49" x14ac:dyDescent="0.25">
      <c r="AW1127" s="33">
        <v>0</v>
      </c>
    </row>
    <row r="1128" spans="49:49" x14ac:dyDescent="0.25">
      <c r="AW1128" s="33">
        <v>0</v>
      </c>
    </row>
    <row r="1129" spans="49:49" x14ac:dyDescent="0.25">
      <c r="AW1129" s="33">
        <v>0</v>
      </c>
    </row>
    <row r="1130" spans="49:49" x14ac:dyDescent="0.25">
      <c r="AW1130" s="33">
        <v>0</v>
      </c>
    </row>
    <row r="1131" spans="49:49" x14ac:dyDescent="0.25">
      <c r="AW1131" s="33">
        <v>0</v>
      </c>
    </row>
    <row r="1132" spans="49:49" x14ac:dyDescent="0.25">
      <c r="AW1132" s="33">
        <v>0</v>
      </c>
    </row>
    <row r="1133" spans="49:49" x14ac:dyDescent="0.25">
      <c r="AW1133" s="33">
        <v>0</v>
      </c>
    </row>
    <row r="1134" spans="49:49" x14ac:dyDescent="0.25">
      <c r="AW1134" s="33">
        <v>0</v>
      </c>
    </row>
    <row r="1135" spans="49:49" x14ac:dyDescent="0.25">
      <c r="AW1135" s="33">
        <v>0</v>
      </c>
    </row>
    <row r="1136" spans="49:49" x14ac:dyDescent="0.25">
      <c r="AW1136" s="33">
        <v>0</v>
      </c>
    </row>
    <row r="1137" spans="49:49" x14ac:dyDescent="0.25">
      <c r="AW1137" s="33">
        <v>0</v>
      </c>
    </row>
    <row r="1138" spans="49:49" x14ac:dyDescent="0.25">
      <c r="AW1138" s="33">
        <v>0</v>
      </c>
    </row>
    <row r="1139" spans="49:49" x14ac:dyDescent="0.25">
      <c r="AW1139" s="33">
        <v>0</v>
      </c>
    </row>
    <row r="1140" spans="49:49" x14ac:dyDescent="0.25">
      <c r="AW1140" s="33">
        <v>0</v>
      </c>
    </row>
    <row r="1141" spans="49:49" x14ac:dyDescent="0.25">
      <c r="AW1141" s="33">
        <v>0</v>
      </c>
    </row>
    <row r="1142" spans="49:49" x14ac:dyDescent="0.25">
      <c r="AW1142" s="33">
        <v>0</v>
      </c>
    </row>
    <row r="1143" spans="49:49" x14ac:dyDescent="0.25">
      <c r="AW1143" s="33">
        <v>0</v>
      </c>
    </row>
    <row r="1144" spans="49:49" x14ac:dyDescent="0.25">
      <c r="AW1144" s="33">
        <v>0</v>
      </c>
    </row>
    <row r="1145" spans="49:49" x14ac:dyDescent="0.25">
      <c r="AW1145" s="33">
        <v>0</v>
      </c>
    </row>
    <row r="1146" spans="49:49" x14ac:dyDescent="0.25">
      <c r="AW1146" s="33">
        <v>0</v>
      </c>
    </row>
    <row r="1147" spans="49:49" x14ac:dyDescent="0.25">
      <c r="AW1147" s="33">
        <v>0</v>
      </c>
    </row>
    <row r="1148" spans="49:49" x14ac:dyDescent="0.25">
      <c r="AW1148" s="33">
        <v>0</v>
      </c>
    </row>
    <row r="1149" spans="49:49" x14ac:dyDescent="0.25">
      <c r="AW1149" s="33">
        <v>0</v>
      </c>
    </row>
    <row r="1150" spans="49:49" x14ac:dyDescent="0.25">
      <c r="AW1150" s="33">
        <v>0</v>
      </c>
    </row>
    <row r="1151" spans="49:49" x14ac:dyDescent="0.25">
      <c r="AW1151" s="33">
        <v>0</v>
      </c>
    </row>
    <row r="1152" spans="49:49" x14ac:dyDescent="0.25">
      <c r="AW1152" s="33">
        <v>0</v>
      </c>
    </row>
    <row r="1153" spans="49:49" x14ac:dyDescent="0.25">
      <c r="AW1153" s="33">
        <v>0</v>
      </c>
    </row>
    <row r="1154" spans="49:49" x14ac:dyDescent="0.25">
      <c r="AW1154" s="33">
        <v>0</v>
      </c>
    </row>
    <row r="1155" spans="49:49" x14ac:dyDescent="0.25">
      <c r="AW1155" s="33">
        <v>0</v>
      </c>
    </row>
    <row r="1156" spans="49:49" x14ac:dyDescent="0.25">
      <c r="AW1156" s="33">
        <v>0</v>
      </c>
    </row>
    <row r="1157" spans="49:49" x14ac:dyDescent="0.25">
      <c r="AW1157" s="33">
        <v>0</v>
      </c>
    </row>
    <row r="1158" spans="49:49" x14ac:dyDescent="0.25">
      <c r="AW1158" s="33">
        <v>0</v>
      </c>
    </row>
    <row r="1159" spans="49:49" x14ac:dyDescent="0.25">
      <c r="AW1159" s="33">
        <v>0</v>
      </c>
    </row>
    <row r="1160" spans="49:49" x14ac:dyDescent="0.25">
      <c r="AW1160" s="33">
        <v>0</v>
      </c>
    </row>
    <row r="1161" spans="49:49" x14ac:dyDescent="0.25">
      <c r="AW1161" s="33">
        <v>0</v>
      </c>
    </row>
    <row r="1162" spans="49:49" x14ac:dyDescent="0.25">
      <c r="AW1162" s="33">
        <v>0</v>
      </c>
    </row>
    <row r="1163" spans="49:49" x14ac:dyDescent="0.25">
      <c r="AW1163" s="33">
        <v>0</v>
      </c>
    </row>
    <row r="1164" spans="49:49" x14ac:dyDescent="0.25">
      <c r="AW1164" s="33">
        <v>0</v>
      </c>
    </row>
    <row r="1165" spans="49:49" x14ac:dyDescent="0.25">
      <c r="AW1165" s="33">
        <v>0</v>
      </c>
    </row>
    <row r="1166" spans="49:49" x14ac:dyDescent="0.25">
      <c r="AW1166" s="33">
        <v>0</v>
      </c>
    </row>
    <row r="1167" spans="49:49" x14ac:dyDescent="0.25">
      <c r="AW1167" s="33">
        <v>0</v>
      </c>
    </row>
    <row r="1168" spans="49:49" x14ac:dyDescent="0.25">
      <c r="AW1168" s="33">
        <v>0</v>
      </c>
    </row>
    <row r="1169" spans="49:49" x14ac:dyDescent="0.25">
      <c r="AW1169" s="33">
        <v>0</v>
      </c>
    </row>
    <row r="1170" spans="49:49" x14ac:dyDescent="0.25">
      <c r="AW1170" s="33">
        <v>0</v>
      </c>
    </row>
    <row r="1171" spans="49:49" x14ac:dyDescent="0.25">
      <c r="AW1171" s="33">
        <v>0</v>
      </c>
    </row>
    <row r="1172" spans="49:49" x14ac:dyDescent="0.25">
      <c r="AW1172" s="33">
        <v>0</v>
      </c>
    </row>
    <row r="1173" spans="49:49" x14ac:dyDescent="0.25">
      <c r="AW1173" s="33">
        <v>0</v>
      </c>
    </row>
    <row r="1174" spans="49:49" x14ac:dyDescent="0.25">
      <c r="AW1174" s="33">
        <v>0</v>
      </c>
    </row>
    <row r="1175" spans="49:49" x14ac:dyDescent="0.25">
      <c r="AW1175" s="33">
        <v>0</v>
      </c>
    </row>
    <row r="1176" spans="49:49" x14ac:dyDescent="0.25">
      <c r="AW1176" s="33">
        <v>0</v>
      </c>
    </row>
    <row r="1177" spans="49:49" x14ac:dyDescent="0.25">
      <c r="AW1177" s="33">
        <v>0</v>
      </c>
    </row>
    <row r="1178" spans="49:49" x14ac:dyDescent="0.25">
      <c r="AW1178" s="33">
        <v>0</v>
      </c>
    </row>
    <row r="1179" spans="49:49" x14ac:dyDescent="0.25">
      <c r="AW1179" s="33">
        <v>0</v>
      </c>
    </row>
    <row r="1180" spans="49:49" x14ac:dyDescent="0.25">
      <c r="AW1180" s="33">
        <v>0</v>
      </c>
    </row>
    <row r="1181" spans="49:49" x14ac:dyDescent="0.25">
      <c r="AW1181" s="33">
        <v>0</v>
      </c>
    </row>
    <row r="1182" spans="49:49" x14ac:dyDescent="0.25">
      <c r="AW1182" s="33">
        <v>0</v>
      </c>
    </row>
    <row r="1183" spans="49:49" x14ac:dyDescent="0.25">
      <c r="AW1183" s="33">
        <v>0</v>
      </c>
    </row>
    <row r="1184" spans="49:49" x14ac:dyDescent="0.25">
      <c r="AW1184" s="33">
        <v>0</v>
      </c>
    </row>
    <row r="1185" spans="49:49" x14ac:dyDescent="0.25">
      <c r="AW1185" s="33">
        <v>0</v>
      </c>
    </row>
    <row r="1186" spans="49:49" x14ac:dyDescent="0.25">
      <c r="AW1186" s="33">
        <v>0</v>
      </c>
    </row>
    <row r="1187" spans="49:49" x14ac:dyDescent="0.25">
      <c r="AW1187" s="33">
        <v>0</v>
      </c>
    </row>
    <row r="1188" spans="49:49" x14ac:dyDescent="0.25">
      <c r="AW1188" s="33">
        <v>0</v>
      </c>
    </row>
    <row r="1189" spans="49:49" x14ac:dyDescent="0.25">
      <c r="AW1189" s="33">
        <v>0</v>
      </c>
    </row>
    <row r="1190" spans="49:49" x14ac:dyDescent="0.25">
      <c r="AW1190" s="33">
        <v>0</v>
      </c>
    </row>
    <row r="1191" spans="49:49" x14ac:dyDescent="0.25">
      <c r="AW1191" s="33">
        <v>0</v>
      </c>
    </row>
    <row r="1192" spans="49:49" x14ac:dyDescent="0.25">
      <c r="AW1192" s="33">
        <v>0</v>
      </c>
    </row>
    <row r="1193" spans="49:49" x14ac:dyDescent="0.25">
      <c r="AW1193" s="33">
        <v>0</v>
      </c>
    </row>
    <row r="1194" spans="49:49" x14ac:dyDescent="0.25">
      <c r="AW1194" s="33">
        <v>0</v>
      </c>
    </row>
    <row r="1195" spans="49:49" x14ac:dyDescent="0.25">
      <c r="AW1195" s="33">
        <v>0</v>
      </c>
    </row>
    <row r="1196" spans="49:49" x14ac:dyDescent="0.25">
      <c r="AW1196" s="33">
        <v>0</v>
      </c>
    </row>
    <row r="1197" spans="49:49" x14ac:dyDescent="0.25">
      <c r="AW1197" s="33">
        <v>0</v>
      </c>
    </row>
    <row r="1198" spans="49:49" x14ac:dyDescent="0.25">
      <c r="AW1198" s="33">
        <v>0</v>
      </c>
    </row>
    <row r="1199" spans="49:49" x14ac:dyDescent="0.25">
      <c r="AW1199" s="33">
        <v>0</v>
      </c>
    </row>
    <row r="1200" spans="49:49" x14ac:dyDescent="0.25">
      <c r="AW1200" s="33">
        <v>0</v>
      </c>
    </row>
    <row r="1201" spans="49:49" x14ac:dyDescent="0.25">
      <c r="AW1201" s="33">
        <v>0</v>
      </c>
    </row>
    <row r="1202" spans="49:49" x14ac:dyDescent="0.25">
      <c r="AW1202" s="33">
        <v>0</v>
      </c>
    </row>
    <row r="1203" spans="49:49" x14ac:dyDescent="0.25">
      <c r="AW1203" s="33">
        <v>0</v>
      </c>
    </row>
    <row r="1204" spans="49:49" x14ac:dyDescent="0.25">
      <c r="AW1204" s="33">
        <v>0</v>
      </c>
    </row>
    <row r="1205" spans="49:49" x14ac:dyDescent="0.25">
      <c r="AW1205" s="33">
        <v>0</v>
      </c>
    </row>
    <row r="1206" spans="49:49" x14ac:dyDescent="0.25">
      <c r="AW1206" s="33">
        <v>0</v>
      </c>
    </row>
    <row r="1207" spans="49:49" x14ac:dyDescent="0.25">
      <c r="AW1207" s="33">
        <v>0</v>
      </c>
    </row>
    <row r="1208" spans="49:49" x14ac:dyDescent="0.25">
      <c r="AW1208" s="33">
        <v>0</v>
      </c>
    </row>
    <row r="1209" spans="49:49" x14ac:dyDescent="0.25">
      <c r="AW1209" s="33">
        <v>0</v>
      </c>
    </row>
    <row r="1210" spans="49:49" x14ac:dyDescent="0.25">
      <c r="AW1210" s="33">
        <v>0</v>
      </c>
    </row>
    <row r="1211" spans="49:49" x14ac:dyDescent="0.25">
      <c r="AW1211" s="33">
        <v>0</v>
      </c>
    </row>
    <row r="1212" spans="49:49" x14ac:dyDescent="0.25">
      <c r="AW1212" s="33">
        <v>0</v>
      </c>
    </row>
    <row r="1213" spans="49:49" x14ac:dyDescent="0.25">
      <c r="AW1213" s="33">
        <v>0</v>
      </c>
    </row>
    <row r="1214" spans="49:49" x14ac:dyDescent="0.25">
      <c r="AW1214" s="33">
        <v>0</v>
      </c>
    </row>
    <row r="1215" spans="49:49" x14ac:dyDescent="0.25">
      <c r="AW1215" s="33">
        <v>0</v>
      </c>
    </row>
    <row r="1216" spans="49:49" x14ac:dyDescent="0.25">
      <c r="AW1216" s="33">
        <v>0</v>
      </c>
    </row>
    <row r="1217" spans="49:49" x14ac:dyDescent="0.25">
      <c r="AW1217" s="33">
        <v>0</v>
      </c>
    </row>
    <row r="1218" spans="49:49" x14ac:dyDescent="0.25">
      <c r="AW1218" s="33">
        <v>0</v>
      </c>
    </row>
    <row r="1219" spans="49:49" x14ac:dyDescent="0.25">
      <c r="AW1219" s="33">
        <v>0</v>
      </c>
    </row>
    <row r="1220" spans="49:49" x14ac:dyDescent="0.25">
      <c r="AW1220" s="33">
        <v>0</v>
      </c>
    </row>
    <row r="1221" spans="49:49" x14ac:dyDescent="0.25">
      <c r="AW1221" s="33">
        <v>0</v>
      </c>
    </row>
    <row r="1222" spans="49:49" x14ac:dyDescent="0.25">
      <c r="AW1222" s="33">
        <v>0</v>
      </c>
    </row>
    <row r="1223" spans="49:49" x14ac:dyDescent="0.25">
      <c r="AW1223" s="33">
        <v>0</v>
      </c>
    </row>
    <row r="1224" spans="49:49" x14ac:dyDescent="0.25">
      <c r="AW1224" s="33">
        <v>0</v>
      </c>
    </row>
    <row r="1225" spans="49:49" x14ac:dyDescent="0.25">
      <c r="AW1225" s="33">
        <v>0</v>
      </c>
    </row>
    <row r="1226" spans="49:49" x14ac:dyDescent="0.25">
      <c r="AW1226" s="33">
        <v>0</v>
      </c>
    </row>
    <row r="1227" spans="49:49" x14ac:dyDescent="0.25">
      <c r="AW1227" s="33">
        <v>0</v>
      </c>
    </row>
    <row r="1228" spans="49:49" x14ac:dyDescent="0.25">
      <c r="AW1228" s="33">
        <v>0</v>
      </c>
    </row>
    <row r="1229" spans="49:49" x14ac:dyDescent="0.25">
      <c r="AW1229" s="33">
        <v>0</v>
      </c>
    </row>
    <row r="1230" spans="49:49" x14ac:dyDescent="0.25">
      <c r="AW1230" s="33">
        <v>0</v>
      </c>
    </row>
    <row r="1231" spans="49:49" x14ac:dyDescent="0.25">
      <c r="AW1231" s="33">
        <v>0</v>
      </c>
    </row>
    <row r="1232" spans="49:49" x14ac:dyDescent="0.25">
      <c r="AW1232" s="33">
        <v>0</v>
      </c>
    </row>
    <row r="1233" spans="49:49" x14ac:dyDescent="0.25">
      <c r="AW1233" s="33">
        <v>0</v>
      </c>
    </row>
    <row r="1234" spans="49:49" x14ac:dyDescent="0.25">
      <c r="AW1234" s="33">
        <v>0</v>
      </c>
    </row>
    <row r="1235" spans="49:49" x14ac:dyDescent="0.25">
      <c r="AW1235" s="33">
        <v>0</v>
      </c>
    </row>
    <row r="1236" spans="49:49" x14ac:dyDescent="0.25">
      <c r="AW1236" s="33">
        <v>0</v>
      </c>
    </row>
    <row r="1237" spans="49:49" x14ac:dyDescent="0.25">
      <c r="AW1237" s="33">
        <v>0</v>
      </c>
    </row>
    <row r="1238" spans="49:49" x14ac:dyDescent="0.25">
      <c r="AW1238" s="33">
        <v>0</v>
      </c>
    </row>
    <row r="1239" spans="49:49" x14ac:dyDescent="0.25">
      <c r="AW1239" s="33">
        <v>0</v>
      </c>
    </row>
    <row r="1240" spans="49:49" x14ac:dyDescent="0.25">
      <c r="AW1240" s="33">
        <v>0</v>
      </c>
    </row>
    <row r="1241" spans="49:49" x14ac:dyDescent="0.25">
      <c r="AW1241" s="33">
        <v>0</v>
      </c>
    </row>
    <row r="1242" spans="49:49" x14ac:dyDescent="0.25">
      <c r="AW1242" s="33">
        <v>0</v>
      </c>
    </row>
    <row r="1243" spans="49:49" x14ac:dyDescent="0.25">
      <c r="AW1243" s="33">
        <v>0</v>
      </c>
    </row>
    <row r="1244" spans="49:49" x14ac:dyDescent="0.25">
      <c r="AW1244" s="33">
        <v>0</v>
      </c>
    </row>
    <row r="1245" spans="49:49" x14ac:dyDescent="0.25">
      <c r="AW1245" s="33">
        <v>0</v>
      </c>
    </row>
    <row r="1246" spans="49:49" x14ac:dyDescent="0.25">
      <c r="AW1246" s="33">
        <v>0</v>
      </c>
    </row>
    <row r="1247" spans="49:49" x14ac:dyDescent="0.25">
      <c r="AW1247" s="33">
        <v>0</v>
      </c>
    </row>
    <row r="1248" spans="49:49" x14ac:dyDescent="0.25">
      <c r="AW1248" s="33">
        <v>0</v>
      </c>
    </row>
    <row r="1249" spans="49:49" x14ac:dyDescent="0.25">
      <c r="AW1249" s="33">
        <v>0</v>
      </c>
    </row>
    <row r="1250" spans="49:49" x14ac:dyDescent="0.25">
      <c r="AW1250" s="33">
        <v>0</v>
      </c>
    </row>
    <row r="1251" spans="49:49" x14ac:dyDescent="0.25">
      <c r="AW1251" s="33">
        <v>0</v>
      </c>
    </row>
    <row r="1252" spans="49:49" x14ac:dyDescent="0.25">
      <c r="AW1252" s="33">
        <v>0</v>
      </c>
    </row>
    <row r="1253" spans="49:49" x14ac:dyDescent="0.25">
      <c r="AW1253" s="33">
        <v>0</v>
      </c>
    </row>
    <row r="1254" spans="49:49" x14ac:dyDescent="0.25">
      <c r="AW1254" s="33">
        <v>0</v>
      </c>
    </row>
    <row r="1255" spans="49:49" x14ac:dyDescent="0.25">
      <c r="AW1255" s="33">
        <v>0</v>
      </c>
    </row>
    <row r="1256" spans="49:49" x14ac:dyDescent="0.25">
      <c r="AW1256" s="33">
        <v>0</v>
      </c>
    </row>
    <row r="1257" spans="49:49" x14ac:dyDescent="0.25">
      <c r="AW1257" s="33">
        <v>0</v>
      </c>
    </row>
    <row r="1258" spans="49:49" x14ac:dyDescent="0.25">
      <c r="AW1258" s="33">
        <v>0</v>
      </c>
    </row>
    <row r="1259" spans="49:49" x14ac:dyDescent="0.25">
      <c r="AW1259" s="33">
        <v>0</v>
      </c>
    </row>
    <row r="1260" spans="49:49" x14ac:dyDescent="0.25">
      <c r="AW1260" s="33">
        <v>0</v>
      </c>
    </row>
    <row r="1261" spans="49:49" x14ac:dyDescent="0.25">
      <c r="AW1261" s="33">
        <v>0</v>
      </c>
    </row>
    <row r="1262" spans="49:49" x14ac:dyDescent="0.25">
      <c r="AW1262" s="33">
        <v>0</v>
      </c>
    </row>
    <row r="1263" spans="49:49" x14ac:dyDescent="0.25">
      <c r="AW1263" s="33">
        <v>0</v>
      </c>
    </row>
    <row r="1264" spans="49:49" x14ac:dyDescent="0.25">
      <c r="AW1264" s="33">
        <v>0</v>
      </c>
    </row>
    <row r="1265" spans="49:49" x14ac:dyDescent="0.25">
      <c r="AW1265" s="33">
        <v>0</v>
      </c>
    </row>
    <row r="1266" spans="49:49" x14ac:dyDescent="0.25">
      <c r="AW1266" s="33">
        <v>0</v>
      </c>
    </row>
    <row r="1267" spans="49:49" x14ac:dyDescent="0.25">
      <c r="AW1267" s="33">
        <v>0</v>
      </c>
    </row>
    <row r="1268" spans="49:49" x14ac:dyDescent="0.25">
      <c r="AW1268" s="33">
        <v>0</v>
      </c>
    </row>
    <row r="1269" spans="49:49" x14ac:dyDescent="0.25">
      <c r="AW1269" s="33">
        <v>0</v>
      </c>
    </row>
    <row r="1270" spans="49:49" x14ac:dyDescent="0.25">
      <c r="AW1270" s="33">
        <v>0</v>
      </c>
    </row>
    <row r="1271" spans="49:49" x14ac:dyDescent="0.25">
      <c r="AW1271" s="33">
        <v>0</v>
      </c>
    </row>
    <row r="1272" spans="49:49" x14ac:dyDescent="0.25">
      <c r="AW1272" s="33">
        <v>0</v>
      </c>
    </row>
    <row r="1273" spans="49:49" x14ac:dyDescent="0.25">
      <c r="AW1273" s="33">
        <v>0</v>
      </c>
    </row>
    <row r="1274" spans="49:49" x14ac:dyDescent="0.25">
      <c r="AW1274" s="33">
        <v>0</v>
      </c>
    </row>
    <row r="1275" spans="49:49" x14ac:dyDescent="0.25">
      <c r="AW1275" s="33">
        <v>0</v>
      </c>
    </row>
    <row r="1276" spans="49:49" x14ac:dyDescent="0.25">
      <c r="AW1276" s="33">
        <v>0</v>
      </c>
    </row>
    <row r="1277" spans="49:49" x14ac:dyDescent="0.25">
      <c r="AW1277" s="33">
        <v>0</v>
      </c>
    </row>
    <row r="1278" spans="49:49" x14ac:dyDescent="0.25">
      <c r="AW1278" s="33">
        <v>0</v>
      </c>
    </row>
    <row r="1279" spans="49:49" x14ac:dyDescent="0.25">
      <c r="AW1279" s="33">
        <v>0</v>
      </c>
    </row>
    <row r="1280" spans="49:49" x14ac:dyDescent="0.25">
      <c r="AW1280" s="33">
        <v>0</v>
      </c>
    </row>
    <row r="1281" spans="49:49" x14ac:dyDescent="0.25">
      <c r="AW1281" s="33">
        <v>0</v>
      </c>
    </row>
    <row r="1282" spans="49:49" x14ac:dyDescent="0.25">
      <c r="AW1282" s="33">
        <v>0</v>
      </c>
    </row>
    <row r="1283" spans="49:49" x14ac:dyDescent="0.25">
      <c r="AW1283" s="33">
        <v>0</v>
      </c>
    </row>
    <row r="1284" spans="49:49" x14ac:dyDescent="0.25">
      <c r="AW1284" s="33">
        <v>0</v>
      </c>
    </row>
    <row r="1285" spans="49:49" x14ac:dyDescent="0.25">
      <c r="AW1285" s="33">
        <v>0</v>
      </c>
    </row>
    <row r="1286" spans="49:49" x14ac:dyDescent="0.25">
      <c r="AW1286" s="33">
        <v>0</v>
      </c>
    </row>
    <row r="1287" spans="49:49" x14ac:dyDescent="0.25">
      <c r="AW1287" s="33">
        <v>0</v>
      </c>
    </row>
    <row r="1288" spans="49:49" x14ac:dyDescent="0.25">
      <c r="AW1288" s="33">
        <v>0</v>
      </c>
    </row>
    <row r="1289" spans="49:49" x14ac:dyDescent="0.25">
      <c r="AW1289" s="33">
        <v>0</v>
      </c>
    </row>
    <row r="1290" spans="49:49" x14ac:dyDescent="0.25">
      <c r="AW1290" s="33">
        <v>0</v>
      </c>
    </row>
    <row r="1291" spans="49:49" x14ac:dyDescent="0.25">
      <c r="AW1291" s="33">
        <v>0</v>
      </c>
    </row>
    <row r="1292" spans="49:49" x14ac:dyDescent="0.25">
      <c r="AW1292" s="33">
        <v>0</v>
      </c>
    </row>
    <row r="1293" spans="49:49" x14ac:dyDescent="0.25">
      <c r="AW1293" s="33">
        <v>0</v>
      </c>
    </row>
    <row r="1294" spans="49:49" x14ac:dyDescent="0.25">
      <c r="AW1294" s="33">
        <v>0</v>
      </c>
    </row>
    <row r="1295" spans="49:49" x14ac:dyDescent="0.25">
      <c r="AW1295" s="33">
        <v>0</v>
      </c>
    </row>
    <row r="1296" spans="49:49" x14ac:dyDescent="0.25">
      <c r="AW1296" s="33">
        <v>0</v>
      </c>
    </row>
    <row r="1297" spans="49:49" x14ac:dyDescent="0.25">
      <c r="AW1297" s="33">
        <v>0</v>
      </c>
    </row>
    <row r="1298" spans="49:49" x14ac:dyDescent="0.25">
      <c r="AW1298" s="33">
        <v>0</v>
      </c>
    </row>
    <row r="1299" spans="49:49" x14ac:dyDescent="0.25">
      <c r="AW1299" s="33">
        <v>0</v>
      </c>
    </row>
    <row r="1300" spans="49:49" x14ac:dyDescent="0.25">
      <c r="AW1300" s="33">
        <v>0</v>
      </c>
    </row>
    <row r="1301" spans="49:49" x14ac:dyDescent="0.25">
      <c r="AW1301" s="33">
        <v>0</v>
      </c>
    </row>
    <row r="1302" spans="49:49" x14ac:dyDescent="0.25">
      <c r="AW1302" s="33">
        <v>0</v>
      </c>
    </row>
    <row r="1303" spans="49:49" x14ac:dyDescent="0.25">
      <c r="AW1303" s="33">
        <v>0</v>
      </c>
    </row>
    <row r="1304" spans="49:49" x14ac:dyDescent="0.25">
      <c r="AW1304" s="33">
        <v>0</v>
      </c>
    </row>
    <row r="1305" spans="49:49" x14ac:dyDescent="0.25">
      <c r="AW1305" s="33">
        <v>0</v>
      </c>
    </row>
    <row r="1306" spans="49:49" x14ac:dyDescent="0.25">
      <c r="AW1306" s="33">
        <v>0</v>
      </c>
    </row>
    <row r="1307" spans="49:49" x14ac:dyDescent="0.25">
      <c r="AW1307" s="33">
        <v>0</v>
      </c>
    </row>
    <row r="1308" spans="49:49" x14ac:dyDescent="0.25">
      <c r="AW1308" s="33">
        <v>0</v>
      </c>
    </row>
    <row r="1309" spans="49:49" x14ac:dyDescent="0.25">
      <c r="AW1309" s="33">
        <v>0</v>
      </c>
    </row>
    <row r="1310" spans="49:49" x14ac:dyDescent="0.25">
      <c r="AW1310" s="33">
        <v>0</v>
      </c>
    </row>
    <row r="1311" spans="49:49" x14ac:dyDescent="0.25">
      <c r="AW1311" s="33">
        <v>0</v>
      </c>
    </row>
    <row r="1312" spans="49:49" x14ac:dyDescent="0.25">
      <c r="AW1312" s="33">
        <v>0</v>
      </c>
    </row>
    <row r="1313" spans="49:49" x14ac:dyDescent="0.25">
      <c r="AW1313" s="33">
        <v>0</v>
      </c>
    </row>
    <row r="1314" spans="49:49" x14ac:dyDescent="0.25">
      <c r="AW1314" s="33">
        <v>0</v>
      </c>
    </row>
    <row r="1315" spans="49:49" x14ac:dyDescent="0.25">
      <c r="AW1315" s="33">
        <v>0</v>
      </c>
    </row>
    <row r="1316" spans="49:49" x14ac:dyDescent="0.25">
      <c r="AW1316" s="33">
        <v>0</v>
      </c>
    </row>
    <row r="1317" spans="49:49" x14ac:dyDescent="0.25">
      <c r="AW1317" s="33">
        <v>0</v>
      </c>
    </row>
    <row r="1318" spans="49:49" x14ac:dyDescent="0.25">
      <c r="AW1318" s="33">
        <v>0</v>
      </c>
    </row>
    <row r="1319" spans="49:49" x14ac:dyDescent="0.25">
      <c r="AW1319" s="33">
        <v>0</v>
      </c>
    </row>
    <row r="1320" spans="49:49" x14ac:dyDescent="0.25">
      <c r="AW1320" s="33">
        <v>0</v>
      </c>
    </row>
    <row r="1321" spans="49:49" x14ac:dyDescent="0.25">
      <c r="AW1321" s="33">
        <v>0</v>
      </c>
    </row>
    <row r="1322" spans="49:49" x14ac:dyDescent="0.25">
      <c r="AW1322" s="33">
        <v>0</v>
      </c>
    </row>
    <row r="1323" spans="49:49" x14ac:dyDescent="0.25">
      <c r="AW1323" s="33">
        <v>0</v>
      </c>
    </row>
    <row r="1324" spans="49:49" x14ac:dyDescent="0.25">
      <c r="AW1324" s="33">
        <v>0</v>
      </c>
    </row>
    <row r="1325" spans="49:49" x14ac:dyDescent="0.25">
      <c r="AW1325" s="33">
        <v>0</v>
      </c>
    </row>
    <row r="1326" spans="49:49" x14ac:dyDescent="0.25">
      <c r="AW1326" s="33">
        <v>0</v>
      </c>
    </row>
    <row r="1327" spans="49:49" x14ac:dyDescent="0.25">
      <c r="AW1327" s="33">
        <v>0</v>
      </c>
    </row>
    <row r="1328" spans="49:49" x14ac:dyDescent="0.25">
      <c r="AW1328" s="33">
        <v>0</v>
      </c>
    </row>
    <row r="1329" spans="49:49" x14ac:dyDescent="0.25">
      <c r="AW1329" s="33">
        <v>0</v>
      </c>
    </row>
    <row r="1330" spans="49:49" x14ac:dyDescent="0.25">
      <c r="AW1330" s="33">
        <v>0</v>
      </c>
    </row>
    <row r="1331" spans="49:49" x14ac:dyDescent="0.25">
      <c r="AW1331" s="33">
        <v>0</v>
      </c>
    </row>
    <row r="1332" spans="49:49" x14ac:dyDescent="0.25">
      <c r="AW1332" s="33">
        <v>0</v>
      </c>
    </row>
    <row r="1333" spans="49:49" x14ac:dyDescent="0.25">
      <c r="AW1333" s="33">
        <v>0</v>
      </c>
    </row>
    <row r="1334" spans="49:49" x14ac:dyDescent="0.25">
      <c r="AW1334" s="33">
        <v>0</v>
      </c>
    </row>
    <row r="1335" spans="49:49" x14ac:dyDescent="0.25">
      <c r="AW1335" s="33">
        <v>0</v>
      </c>
    </row>
    <row r="1336" spans="49:49" x14ac:dyDescent="0.25">
      <c r="AW1336" s="33">
        <v>0</v>
      </c>
    </row>
    <row r="1337" spans="49:49" x14ac:dyDescent="0.25">
      <c r="AW1337" s="33">
        <v>0</v>
      </c>
    </row>
    <row r="1338" spans="49:49" x14ac:dyDescent="0.25">
      <c r="AW1338" s="33">
        <v>0</v>
      </c>
    </row>
    <row r="1339" spans="49:49" x14ac:dyDescent="0.25">
      <c r="AW1339" s="33">
        <v>0</v>
      </c>
    </row>
    <row r="1340" spans="49:49" x14ac:dyDescent="0.25">
      <c r="AW1340" s="33">
        <v>0</v>
      </c>
    </row>
    <row r="1341" spans="49:49" x14ac:dyDescent="0.25">
      <c r="AW1341" s="33">
        <v>0</v>
      </c>
    </row>
    <row r="1342" spans="49:49" x14ac:dyDescent="0.25">
      <c r="AW1342" s="33">
        <v>0</v>
      </c>
    </row>
    <row r="1343" spans="49:49" x14ac:dyDescent="0.25">
      <c r="AW1343" s="33">
        <v>0</v>
      </c>
    </row>
    <row r="1344" spans="49:49" x14ac:dyDescent="0.25">
      <c r="AW1344" s="33">
        <v>0</v>
      </c>
    </row>
    <row r="1345" spans="49:49" x14ac:dyDescent="0.25">
      <c r="AW1345" s="33">
        <v>0</v>
      </c>
    </row>
    <row r="1346" spans="49:49" x14ac:dyDescent="0.25">
      <c r="AW1346" s="33">
        <v>0</v>
      </c>
    </row>
    <row r="1347" spans="49:49" x14ac:dyDescent="0.25">
      <c r="AW1347" s="33">
        <v>0</v>
      </c>
    </row>
    <row r="1348" spans="49:49" x14ac:dyDescent="0.25">
      <c r="AW1348" s="33">
        <v>0</v>
      </c>
    </row>
    <row r="1349" spans="49:49" x14ac:dyDescent="0.25">
      <c r="AW1349" s="33">
        <v>0</v>
      </c>
    </row>
    <row r="1350" spans="49:49" x14ac:dyDescent="0.25">
      <c r="AW1350" s="33">
        <v>0</v>
      </c>
    </row>
    <row r="1351" spans="49:49" x14ac:dyDescent="0.25">
      <c r="AW1351" s="33">
        <v>0</v>
      </c>
    </row>
    <row r="1352" spans="49:49" x14ac:dyDescent="0.25">
      <c r="AW1352" s="33">
        <v>0</v>
      </c>
    </row>
    <row r="1353" spans="49:49" x14ac:dyDescent="0.25">
      <c r="AW1353" s="33">
        <v>0</v>
      </c>
    </row>
    <row r="1354" spans="49:49" x14ac:dyDescent="0.25">
      <c r="AW1354" s="33">
        <v>0</v>
      </c>
    </row>
    <row r="1355" spans="49:49" x14ac:dyDescent="0.25">
      <c r="AW1355" s="33">
        <v>0</v>
      </c>
    </row>
    <row r="1356" spans="49:49" x14ac:dyDescent="0.25">
      <c r="AW1356" s="33">
        <v>0</v>
      </c>
    </row>
    <row r="1357" spans="49:49" x14ac:dyDescent="0.25">
      <c r="AW1357" s="33">
        <v>0</v>
      </c>
    </row>
    <row r="1358" spans="49:49" x14ac:dyDescent="0.25">
      <c r="AW1358" s="33">
        <v>0</v>
      </c>
    </row>
    <row r="1359" spans="49:49" x14ac:dyDescent="0.25">
      <c r="AW1359" s="33">
        <v>0</v>
      </c>
    </row>
    <row r="1360" spans="49:49" x14ac:dyDescent="0.25">
      <c r="AW1360" s="33">
        <v>0</v>
      </c>
    </row>
    <row r="1361" spans="49:49" x14ac:dyDescent="0.25">
      <c r="AW1361" s="33">
        <v>0</v>
      </c>
    </row>
    <row r="1362" spans="49:49" x14ac:dyDescent="0.25">
      <c r="AW1362" s="33">
        <v>0</v>
      </c>
    </row>
    <row r="1363" spans="49:49" x14ac:dyDescent="0.25">
      <c r="AW1363" s="33">
        <v>0</v>
      </c>
    </row>
    <row r="1364" spans="49:49" x14ac:dyDescent="0.25">
      <c r="AW1364" s="33">
        <v>0</v>
      </c>
    </row>
    <row r="1365" spans="49:49" x14ac:dyDescent="0.25">
      <c r="AW1365" s="33">
        <v>0</v>
      </c>
    </row>
    <row r="1366" spans="49:49" x14ac:dyDescent="0.25">
      <c r="AW1366" s="33">
        <v>0</v>
      </c>
    </row>
    <row r="1367" spans="49:49" x14ac:dyDescent="0.25">
      <c r="AW1367" s="33">
        <v>0</v>
      </c>
    </row>
    <row r="1368" spans="49:49" x14ac:dyDescent="0.25">
      <c r="AW1368" s="33">
        <v>0</v>
      </c>
    </row>
    <row r="1369" spans="49:49" x14ac:dyDescent="0.25">
      <c r="AW1369" s="33">
        <v>0</v>
      </c>
    </row>
    <row r="1370" spans="49:49" x14ac:dyDescent="0.25">
      <c r="AW1370" s="33">
        <v>0</v>
      </c>
    </row>
    <row r="1371" spans="49:49" x14ac:dyDescent="0.25">
      <c r="AW1371" s="33">
        <v>0</v>
      </c>
    </row>
    <row r="1372" spans="49:49" x14ac:dyDescent="0.25">
      <c r="AW1372" s="33">
        <v>0</v>
      </c>
    </row>
    <row r="1373" spans="49:49" x14ac:dyDescent="0.25">
      <c r="AW1373" s="33">
        <v>0</v>
      </c>
    </row>
    <row r="1374" spans="49:49" x14ac:dyDescent="0.25">
      <c r="AW1374" s="33">
        <v>0</v>
      </c>
    </row>
    <row r="1375" spans="49:49" x14ac:dyDescent="0.25">
      <c r="AW1375" s="33">
        <v>0</v>
      </c>
    </row>
    <row r="1376" spans="49:49" x14ac:dyDescent="0.25">
      <c r="AW1376" s="33">
        <v>0</v>
      </c>
    </row>
    <row r="1377" spans="49:49" x14ac:dyDescent="0.25">
      <c r="AW1377" s="33">
        <v>0</v>
      </c>
    </row>
    <row r="1378" spans="49:49" x14ac:dyDescent="0.25">
      <c r="AW1378" s="33">
        <v>0</v>
      </c>
    </row>
    <row r="1379" spans="49:49" x14ac:dyDescent="0.25">
      <c r="AW1379" s="33">
        <v>0</v>
      </c>
    </row>
    <row r="1380" spans="49:49" x14ac:dyDescent="0.25">
      <c r="AW1380" s="33">
        <v>0</v>
      </c>
    </row>
    <row r="1381" spans="49:49" x14ac:dyDescent="0.25">
      <c r="AW1381" s="33">
        <v>0</v>
      </c>
    </row>
    <row r="1382" spans="49:49" x14ac:dyDescent="0.25">
      <c r="AW1382" s="33">
        <v>0</v>
      </c>
    </row>
    <row r="1383" spans="49:49" x14ac:dyDescent="0.25">
      <c r="AW1383" s="33">
        <v>0</v>
      </c>
    </row>
    <row r="1384" spans="49:49" x14ac:dyDescent="0.25">
      <c r="AW1384" s="33">
        <v>0</v>
      </c>
    </row>
    <row r="1385" spans="49:49" x14ac:dyDescent="0.25">
      <c r="AW1385" s="33">
        <v>0</v>
      </c>
    </row>
    <row r="1386" spans="49:49" x14ac:dyDescent="0.25">
      <c r="AW1386" s="33">
        <v>0</v>
      </c>
    </row>
    <row r="1387" spans="49:49" x14ac:dyDescent="0.25">
      <c r="AW1387" s="33">
        <v>0</v>
      </c>
    </row>
    <row r="1388" spans="49:49" x14ac:dyDescent="0.25">
      <c r="AW1388" s="33">
        <v>0</v>
      </c>
    </row>
    <row r="1389" spans="49:49" x14ac:dyDescent="0.25">
      <c r="AW1389" s="33">
        <v>0</v>
      </c>
    </row>
    <row r="1390" spans="49:49" x14ac:dyDescent="0.25">
      <c r="AW1390" s="33">
        <v>0</v>
      </c>
    </row>
    <row r="1391" spans="49:49" x14ac:dyDescent="0.25">
      <c r="AW1391" s="33">
        <v>0</v>
      </c>
    </row>
    <row r="1392" spans="49:49" x14ac:dyDescent="0.25">
      <c r="AW1392" s="33">
        <v>0</v>
      </c>
    </row>
    <row r="1393" spans="49:49" x14ac:dyDescent="0.25">
      <c r="AW1393" s="33">
        <v>0</v>
      </c>
    </row>
    <row r="1394" spans="49:49" x14ac:dyDescent="0.25">
      <c r="AW1394" s="33">
        <v>0</v>
      </c>
    </row>
    <row r="1395" spans="49:49" x14ac:dyDescent="0.25">
      <c r="AW1395" s="33">
        <v>0</v>
      </c>
    </row>
    <row r="1396" spans="49:49" x14ac:dyDescent="0.25">
      <c r="AW1396" s="33">
        <v>0</v>
      </c>
    </row>
    <row r="1397" spans="49:49" x14ac:dyDescent="0.25">
      <c r="AW1397" s="33">
        <v>0</v>
      </c>
    </row>
    <row r="1398" spans="49:49" x14ac:dyDescent="0.25">
      <c r="AW1398" s="33">
        <v>0</v>
      </c>
    </row>
    <row r="1399" spans="49:49" x14ac:dyDescent="0.25">
      <c r="AW1399" s="33">
        <v>0</v>
      </c>
    </row>
    <row r="1400" spans="49:49" x14ac:dyDescent="0.25">
      <c r="AW1400" s="33">
        <v>0</v>
      </c>
    </row>
    <row r="1401" spans="49:49" x14ac:dyDescent="0.25">
      <c r="AW1401" s="33">
        <v>0</v>
      </c>
    </row>
    <row r="1402" spans="49:49" x14ac:dyDescent="0.25">
      <c r="AW1402" s="33">
        <v>0</v>
      </c>
    </row>
    <row r="1403" spans="49:49" x14ac:dyDescent="0.25">
      <c r="AW1403" s="33">
        <v>0</v>
      </c>
    </row>
    <row r="1404" spans="49:49" x14ac:dyDescent="0.25">
      <c r="AW1404" s="33">
        <v>0</v>
      </c>
    </row>
    <row r="1405" spans="49:49" x14ac:dyDescent="0.25">
      <c r="AW1405" s="33">
        <v>0</v>
      </c>
    </row>
    <row r="1406" spans="49:49" x14ac:dyDescent="0.25">
      <c r="AW1406" s="33">
        <v>0</v>
      </c>
    </row>
    <row r="1407" spans="49:49" x14ac:dyDescent="0.25">
      <c r="AW1407" s="33">
        <v>0</v>
      </c>
    </row>
    <row r="1408" spans="49:49" x14ac:dyDescent="0.25">
      <c r="AW1408" s="33">
        <v>0</v>
      </c>
    </row>
    <row r="1409" spans="49:49" x14ac:dyDescent="0.25">
      <c r="AW1409" s="33">
        <v>0</v>
      </c>
    </row>
    <row r="1410" spans="49:49" x14ac:dyDescent="0.25">
      <c r="AW1410" s="33">
        <v>0</v>
      </c>
    </row>
    <row r="1411" spans="49:49" x14ac:dyDescent="0.25">
      <c r="AW1411" s="33">
        <v>0</v>
      </c>
    </row>
    <row r="1412" spans="49:49" x14ac:dyDescent="0.25">
      <c r="AW1412" s="33">
        <v>0</v>
      </c>
    </row>
    <row r="1413" spans="49:49" x14ac:dyDescent="0.25">
      <c r="AW1413" s="33">
        <v>0</v>
      </c>
    </row>
    <row r="1414" spans="49:49" x14ac:dyDescent="0.25">
      <c r="AW1414" s="33">
        <v>0</v>
      </c>
    </row>
    <row r="1415" spans="49:49" x14ac:dyDescent="0.25">
      <c r="AW1415" s="33">
        <v>0</v>
      </c>
    </row>
    <row r="1416" spans="49:49" x14ac:dyDescent="0.25">
      <c r="AW1416" s="33">
        <v>0</v>
      </c>
    </row>
    <row r="1417" spans="49:49" x14ac:dyDescent="0.25">
      <c r="AW1417" s="33">
        <v>0</v>
      </c>
    </row>
    <row r="1418" spans="49:49" x14ac:dyDescent="0.25">
      <c r="AW1418" s="33">
        <v>0</v>
      </c>
    </row>
    <row r="1419" spans="49:49" x14ac:dyDescent="0.25">
      <c r="AW1419" s="33">
        <v>0</v>
      </c>
    </row>
    <row r="1420" spans="49:49" x14ac:dyDescent="0.25">
      <c r="AW1420" s="33">
        <v>0</v>
      </c>
    </row>
    <row r="1421" spans="49:49" x14ac:dyDescent="0.25">
      <c r="AW1421" s="33">
        <v>0</v>
      </c>
    </row>
    <row r="1422" spans="49:49" x14ac:dyDescent="0.25">
      <c r="AW1422" s="33">
        <v>0</v>
      </c>
    </row>
    <row r="1423" spans="49:49" x14ac:dyDescent="0.25">
      <c r="AW1423" s="33">
        <v>0</v>
      </c>
    </row>
    <row r="1424" spans="49:49" x14ac:dyDescent="0.25">
      <c r="AW1424" s="33">
        <v>0</v>
      </c>
    </row>
    <row r="1425" spans="49:49" x14ac:dyDescent="0.25">
      <c r="AW1425" s="33">
        <v>0</v>
      </c>
    </row>
    <row r="1426" spans="49:49" x14ac:dyDescent="0.25">
      <c r="AW1426" s="33">
        <v>0</v>
      </c>
    </row>
    <row r="1427" spans="49:49" x14ac:dyDescent="0.25">
      <c r="AW1427" s="33">
        <v>0</v>
      </c>
    </row>
    <row r="1428" spans="49:49" x14ac:dyDescent="0.25">
      <c r="AW1428" s="33">
        <v>0</v>
      </c>
    </row>
    <row r="1429" spans="49:49" x14ac:dyDescent="0.25">
      <c r="AW1429" s="33">
        <v>0</v>
      </c>
    </row>
    <row r="1430" spans="49:49" x14ac:dyDescent="0.25">
      <c r="AW1430" s="33">
        <v>0</v>
      </c>
    </row>
    <row r="1431" spans="49:49" x14ac:dyDescent="0.25">
      <c r="AW1431" s="33">
        <v>0</v>
      </c>
    </row>
    <row r="1432" spans="49:49" x14ac:dyDescent="0.25">
      <c r="AW1432" s="33">
        <v>0</v>
      </c>
    </row>
    <row r="1433" spans="49:49" x14ac:dyDescent="0.25">
      <c r="AW1433" s="33">
        <v>0</v>
      </c>
    </row>
    <row r="1434" spans="49:49" x14ac:dyDescent="0.25">
      <c r="AW1434" s="33">
        <v>0</v>
      </c>
    </row>
    <row r="1435" spans="49:49" x14ac:dyDescent="0.25">
      <c r="AW1435" s="33">
        <v>0</v>
      </c>
    </row>
    <row r="1436" spans="49:49" x14ac:dyDescent="0.25">
      <c r="AW1436" s="33">
        <v>0</v>
      </c>
    </row>
    <row r="1437" spans="49:49" x14ac:dyDescent="0.25">
      <c r="AW1437" s="33">
        <v>0</v>
      </c>
    </row>
    <row r="1438" spans="49:49" x14ac:dyDescent="0.25">
      <c r="AW1438" s="33">
        <v>0</v>
      </c>
    </row>
    <row r="1439" spans="49:49" x14ac:dyDescent="0.25">
      <c r="AW1439" s="33">
        <v>0</v>
      </c>
    </row>
    <row r="1440" spans="49:49" x14ac:dyDescent="0.25">
      <c r="AW1440" s="33">
        <v>0</v>
      </c>
    </row>
    <row r="1441" spans="49:49" x14ac:dyDescent="0.25">
      <c r="AW1441" s="33">
        <v>0</v>
      </c>
    </row>
    <row r="1442" spans="49:49" x14ac:dyDescent="0.25">
      <c r="AW1442" s="33">
        <v>0</v>
      </c>
    </row>
    <row r="1443" spans="49:49" x14ac:dyDescent="0.25">
      <c r="AW1443" s="33">
        <v>0</v>
      </c>
    </row>
    <row r="1444" spans="49:49" x14ac:dyDescent="0.25">
      <c r="AW1444" s="33">
        <v>0</v>
      </c>
    </row>
    <row r="1445" spans="49:49" x14ac:dyDescent="0.25">
      <c r="AW1445" s="33">
        <v>0</v>
      </c>
    </row>
    <row r="1446" spans="49:49" x14ac:dyDescent="0.25">
      <c r="AW1446" s="33">
        <v>0</v>
      </c>
    </row>
    <row r="1447" spans="49:49" x14ac:dyDescent="0.25">
      <c r="AW1447" s="33">
        <v>0</v>
      </c>
    </row>
    <row r="1448" spans="49:49" x14ac:dyDescent="0.25">
      <c r="AW1448" s="33">
        <v>0</v>
      </c>
    </row>
    <row r="1449" spans="49:49" x14ac:dyDescent="0.25">
      <c r="AW1449" s="33">
        <v>0</v>
      </c>
    </row>
    <row r="1450" spans="49:49" x14ac:dyDescent="0.25">
      <c r="AW1450" s="33">
        <v>0</v>
      </c>
    </row>
    <row r="1451" spans="49:49" x14ac:dyDescent="0.25">
      <c r="AW1451" s="33">
        <v>0</v>
      </c>
    </row>
    <row r="1452" spans="49:49" x14ac:dyDescent="0.25">
      <c r="AW1452" s="33">
        <v>0</v>
      </c>
    </row>
    <row r="1453" spans="49:49" x14ac:dyDescent="0.25">
      <c r="AW1453" s="33">
        <v>0</v>
      </c>
    </row>
    <row r="1454" spans="49:49" x14ac:dyDescent="0.25">
      <c r="AW1454" s="33">
        <v>0</v>
      </c>
    </row>
    <row r="1455" spans="49:49" x14ac:dyDescent="0.25">
      <c r="AW1455" s="33">
        <v>0</v>
      </c>
    </row>
    <row r="1456" spans="49:49" x14ac:dyDescent="0.25">
      <c r="AW1456" s="33">
        <v>0</v>
      </c>
    </row>
    <row r="1457" spans="49:49" x14ac:dyDescent="0.25">
      <c r="AW1457" s="33">
        <v>0</v>
      </c>
    </row>
    <row r="1458" spans="49:49" x14ac:dyDescent="0.25">
      <c r="AW1458" s="33">
        <v>0</v>
      </c>
    </row>
    <row r="1459" spans="49:49" x14ac:dyDescent="0.25">
      <c r="AW1459" s="33">
        <v>0</v>
      </c>
    </row>
    <row r="1460" spans="49:49" x14ac:dyDescent="0.25">
      <c r="AW1460" s="33">
        <v>0</v>
      </c>
    </row>
    <row r="1461" spans="49:49" x14ac:dyDescent="0.25">
      <c r="AW1461" s="33">
        <v>0</v>
      </c>
    </row>
    <row r="1462" spans="49:49" x14ac:dyDescent="0.25">
      <c r="AW1462" s="33">
        <v>0</v>
      </c>
    </row>
    <row r="1463" spans="49:49" x14ac:dyDescent="0.25">
      <c r="AW1463" s="33">
        <v>0</v>
      </c>
    </row>
    <row r="1464" spans="49:49" x14ac:dyDescent="0.25">
      <c r="AW1464" s="33">
        <v>0</v>
      </c>
    </row>
    <row r="1465" spans="49:49" x14ac:dyDescent="0.25">
      <c r="AW1465" s="33">
        <v>0</v>
      </c>
    </row>
    <row r="1466" spans="49:49" x14ac:dyDescent="0.25">
      <c r="AW1466" s="33">
        <v>0</v>
      </c>
    </row>
    <row r="1467" spans="49:49" x14ac:dyDescent="0.25">
      <c r="AW1467" s="33">
        <v>0</v>
      </c>
    </row>
    <row r="1468" spans="49:49" x14ac:dyDescent="0.25">
      <c r="AW1468" s="33">
        <v>0</v>
      </c>
    </row>
    <row r="1469" spans="49:49" x14ac:dyDescent="0.25">
      <c r="AW1469" s="33">
        <v>0</v>
      </c>
    </row>
    <row r="1470" spans="49:49" x14ac:dyDescent="0.25">
      <c r="AW1470" s="33">
        <v>0</v>
      </c>
    </row>
    <row r="1471" spans="49:49" x14ac:dyDescent="0.25">
      <c r="AW1471" s="33">
        <v>0</v>
      </c>
    </row>
    <row r="1472" spans="49:49" x14ac:dyDescent="0.25">
      <c r="AW1472" s="33">
        <v>0</v>
      </c>
    </row>
    <row r="1473" spans="49:49" x14ac:dyDescent="0.25">
      <c r="AW1473" s="33">
        <v>0</v>
      </c>
    </row>
    <row r="1474" spans="49:49" x14ac:dyDescent="0.25">
      <c r="AW1474" s="33">
        <v>0</v>
      </c>
    </row>
    <row r="1475" spans="49:49" x14ac:dyDescent="0.25">
      <c r="AW1475" s="33">
        <v>0</v>
      </c>
    </row>
    <row r="1476" spans="49:49" x14ac:dyDescent="0.25">
      <c r="AW1476" s="33">
        <v>0</v>
      </c>
    </row>
    <row r="1477" spans="49:49" x14ac:dyDescent="0.25">
      <c r="AW1477" s="33">
        <v>0</v>
      </c>
    </row>
    <row r="1478" spans="49:49" x14ac:dyDescent="0.25">
      <c r="AW1478" s="33">
        <v>0</v>
      </c>
    </row>
    <row r="1479" spans="49:49" x14ac:dyDescent="0.25">
      <c r="AW1479" s="33">
        <v>0</v>
      </c>
    </row>
    <row r="1480" spans="49:49" x14ac:dyDescent="0.25">
      <c r="AW1480" s="33">
        <v>0</v>
      </c>
    </row>
    <row r="1481" spans="49:49" x14ac:dyDescent="0.25">
      <c r="AW1481" s="33">
        <v>0</v>
      </c>
    </row>
    <row r="1482" spans="49:49" x14ac:dyDescent="0.25">
      <c r="AW1482" s="33">
        <v>0</v>
      </c>
    </row>
    <row r="1483" spans="49:49" x14ac:dyDescent="0.25">
      <c r="AW1483" s="33">
        <v>0</v>
      </c>
    </row>
    <row r="1484" spans="49:49" x14ac:dyDescent="0.25">
      <c r="AW1484" s="33">
        <v>0</v>
      </c>
    </row>
    <row r="1485" spans="49:49" x14ac:dyDescent="0.25">
      <c r="AW1485" s="33">
        <v>0</v>
      </c>
    </row>
    <row r="1486" spans="49:49" x14ac:dyDescent="0.25">
      <c r="AW1486" s="33">
        <v>0</v>
      </c>
    </row>
    <row r="1487" spans="49:49" x14ac:dyDescent="0.25">
      <c r="AW1487" s="33">
        <v>0</v>
      </c>
    </row>
    <row r="1488" spans="49:49" x14ac:dyDescent="0.25">
      <c r="AW1488" s="33">
        <v>0</v>
      </c>
    </row>
    <row r="1489" spans="49:49" x14ac:dyDescent="0.25">
      <c r="AW1489" s="33">
        <v>0</v>
      </c>
    </row>
    <row r="1490" spans="49:49" x14ac:dyDescent="0.25">
      <c r="AW1490" s="33">
        <v>0</v>
      </c>
    </row>
    <row r="1491" spans="49:49" x14ac:dyDescent="0.25">
      <c r="AW1491" s="33">
        <v>0</v>
      </c>
    </row>
    <row r="1492" spans="49:49" x14ac:dyDescent="0.25">
      <c r="AW1492" s="33">
        <v>0</v>
      </c>
    </row>
    <row r="1493" spans="49:49" x14ac:dyDescent="0.25">
      <c r="AW1493" s="33">
        <v>0</v>
      </c>
    </row>
    <row r="1494" spans="49:49" x14ac:dyDescent="0.25">
      <c r="AW1494" s="33">
        <v>0</v>
      </c>
    </row>
    <row r="1495" spans="49:49" x14ac:dyDescent="0.25">
      <c r="AW1495" s="33">
        <v>0</v>
      </c>
    </row>
    <row r="1496" spans="49:49" x14ac:dyDescent="0.25">
      <c r="AW1496" s="33">
        <v>0</v>
      </c>
    </row>
    <row r="1497" spans="49:49" x14ac:dyDescent="0.25">
      <c r="AW1497" s="33">
        <v>0</v>
      </c>
    </row>
    <row r="1498" spans="49:49" x14ac:dyDescent="0.25">
      <c r="AW1498" s="33">
        <v>0</v>
      </c>
    </row>
    <row r="1499" spans="49:49" x14ac:dyDescent="0.25">
      <c r="AW1499" s="33">
        <v>0</v>
      </c>
    </row>
    <row r="1500" spans="49:49" x14ac:dyDescent="0.25">
      <c r="AW1500" s="33">
        <v>0</v>
      </c>
    </row>
    <row r="1501" spans="49:49" x14ac:dyDescent="0.25">
      <c r="AW1501" s="33">
        <v>0</v>
      </c>
    </row>
    <row r="1502" spans="49:49" x14ac:dyDescent="0.25">
      <c r="AW1502" s="33">
        <v>0</v>
      </c>
    </row>
    <row r="1503" spans="49:49" x14ac:dyDescent="0.25">
      <c r="AW1503" s="33">
        <v>0</v>
      </c>
    </row>
    <row r="1504" spans="49:49" x14ac:dyDescent="0.25">
      <c r="AW1504" s="33">
        <v>0</v>
      </c>
    </row>
    <row r="1505" spans="49:49" x14ac:dyDescent="0.25">
      <c r="AW1505" s="33">
        <v>0</v>
      </c>
    </row>
    <row r="1506" spans="49:49" x14ac:dyDescent="0.25">
      <c r="AW1506" s="33">
        <v>0</v>
      </c>
    </row>
    <row r="1507" spans="49:49" x14ac:dyDescent="0.25">
      <c r="AW1507" s="33">
        <v>0</v>
      </c>
    </row>
    <row r="1508" spans="49:49" x14ac:dyDescent="0.25">
      <c r="AW1508" s="33">
        <v>0</v>
      </c>
    </row>
    <row r="1509" spans="49:49" x14ac:dyDescent="0.25">
      <c r="AW1509" s="33">
        <v>0</v>
      </c>
    </row>
    <row r="1510" spans="49:49" x14ac:dyDescent="0.25">
      <c r="AW1510" s="33">
        <v>0</v>
      </c>
    </row>
    <row r="1511" spans="49:49" x14ac:dyDescent="0.25">
      <c r="AW1511" s="33">
        <v>0</v>
      </c>
    </row>
    <row r="1512" spans="49:49" x14ac:dyDescent="0.25">
      <c r="AW1512" s="33">
        <v>0</v>
      </c>
    </row>
    <row r="1513" spans="49:49" x14ac:dyDescent="0.25">
      <c r="AW1513" s="33">
        <v>0</v>
      </c>
    </row>
    <row r="1514" spans="49:49" x14ac:dyDescent="0.25">
      <c r="AW1514" s="33">
        <v>0</v>
      </c>
    </row>
    <row r="1515" spans="49:49" x14ac:dyDescent="0.25">
      <c r="AW1515" s="33">
        <v>0</v>
      </c>
    </row>
    <row r="1516" spans="49:49" x14ac:dyDescent="0.25">
      <c r="AW1516" s="33">
        <v>0</v>
      </c>
    </row>
    <row r="1517" spans="49:49" x14ac:dyDescent="0.25">
      <c r="AW1517" s="33">
        <v>0</v>
      </c>
    </row>
    <row r="1518" spans="49:49" x14ac:dyDescent="0.25">
      <c r="AW1518" s="33">
        <v>0</v>
      </c>
    </row>
    <row r="1519" spans="49:49" x14ac:dyDescent="0.25">
      <c r="AW1519" s="33">
        <v>0</v>
      </c>
    </row>
    <row r="1520" spans="49:49" x14ac:dyDescent="0.25">
      <c r="AW1520" s="33">
        <v>0</v>
      </c>
    </row>
    <row r="1521" spans="49:49" x14ac:dyDescent="0.25">
      <c r="AW1521" s="33">
        <v>0</v>
      </c>
    </row>
    <row r="1522" spans="49:49" x14ac:dyDescent="0.25">
      <c r="AW1522" s="33">
        <v>0</v>
      </c>
    </row>
    <row r="1523" spans="49:49" x14ac:dyDescent="0.25">
      <c r="AW1523" s="33">
        <v>0</v>
      </c>
    </row>
    <row r="1524" spans="49:49" x14ac:dyDescent="0.25">
      <c r="AW1524" s="33">
        <v>0</v>
      </c>
    </row>
    <row r="1525" spans="49:49" x14ac:dyDescent="0.25">
      <c r="AW1525" s="33">
        <v>0</v>
      </c>
    </row>
    <row r="1526" spans="49:49" x14ac:dyDescent="0.25">
      <c r="AW1526" s="33">
        <v>0</v>
      </c>
    </row>
    <row r="1527" spans="49:49" x14ac:dyDescent="0.25">
      <c r="AW1527" s="33">
        <v>0</v>
      </c>
    </row>
    <row r="1528" spans="49:49" x14ac:dyDescent="0.25">
      <c r="AW1528" s="33">
        <v>0</v>
      </c>
    </row>
    <row r="1529" spans="49:49" x14ac:dyDescent="0.25">
      <c r="AW1529" s="33">
        <v>0</v>
      </c>
    </row>
    <row r="1530" spans="49:49" x14ac:dyDescent="0.25">
      <c r="AW1530" s="33">
        <v>0</v>
      </c>
    </row>
    <row r="1531" spans="49:49" x14ac:dyDescent="0.25">
      <c r="AW1531" s="33">
        <v>0</v>
      </c>
    </row>
    <row r="1532" spans="49:49" x14ac:dyDescent="0.25">
      <c r="AW1532" s="33">
        <v>0</v>
      </c>
    </row>
    <row r="1533" spans="49:49" x14ac:dyDescent="0.25">
      <c r="AW1533" s="33">
        <v>0</v>
      </c>
    </row>
    <row r="1534" spans="49:49" x14ac:dyDescent="0.25">
      <c r="AW1534" s="33">
        <v>0</v>
      </c>
    </row>
    <row r="1535" spans="49:49" x14ac:dyDescent="0.25">
      <c r="AW1535" s="33">
        <v>0</v>
      </c>
    </row>
    <row r="1536" spans="49:49" x14ac:dyDescent="0.25">
      <c r="AW1536" s="33">
        <v>0</v>
      </c>
    </row>
    <row r="1537" spans="49:49" x14ac:dyDescent="0.25">
      <c r="AW1537" s="33">
        <v>0</v>
      </c>
    </row>
    <row r="1538" spans="49:49" x14ac:dyDescent="0.25">
      <c r="AW1538" s="33">
        <v>0</v>
      </c>
    </row>
    <row r="1539" spans="49:49" x14ac:dyDescent="0.25">
      <c r="AW1539" s="33">
        <v>0</v>
      </c>
    </row>
    <row r="1540" spans="49:49" x14ac:dyDescent="0.25">
      <c r="AW1540" s="33">
        <v>0</v>
      </c>
    </row>
    <row r="1541" spans="49:49" x14ac:dyDescent="0.25">
      <c r="AW1541" s="33">
        <v>0</v>
      </c>
    </row>
    <row r="1542" spans="49:49" x14ac:dyDescent="0.25">
      <c r="AW1542" s="33">
        <v>0</v>
      </c>
    </row>
    <row r="1543" spans="49:49" x14ac:dyDescent="0.25">
      <c r="AW1543" s="33">
        <v>0</v>
      </c>
    </row>
    <row r="1544" spans="49:49" x14ac:dyDescent="0.25">
      <c r="AW1544" s="33">
        <v>0</v>
      </c>
    </row>
    <row r="1545" spans="49:49" x14ac:dyDescent="0.25">
      <c r="AW1545" s="33">
        <v>0</v>
      </c>
    </row>
    <row r="1546" spans="49:49" x14ac:dyDescent="0.25">
      <c r="AW1546" s="33">
        <v>0</v>
      </c>
    </row>
    <row r="1547" spans="49:49" x14ac:dyDescent="0.25">
      <c r="AW1547" s="33">
        <v>0</v>
      </c>
    </row>
    <row r="1548" spans="49:49" x14ac:dyDescent="0.25">
      <c r="AW1548" s="33">
        <v>0</v>
      </c>
    </row>
    <row r="1549" spans="49:49" x14ac:dyDescent="0.25">
      <c r="AW1549" s="33">
        <v>0</v>
      </c>
    </row>
    <row r="1550" spans="49:49" x14ac:dyDescent="0.25">
      <c r="AW1550" s="33">
        <v>0</v>
      </c>
    </row>
    <row r="1551" spans="49:49" x14ac:dyDescent="0.25">
      <c r="AW1551" s="33">
        <v>0</v>
      </c>
    </row>
    <row r="1552" spans="49:49" x14ac:dyDescent="0.25">
      <c r="AW1552" s="33">
        <v>0</v>
      </c>
    </row>
    <row r="1553" spans="49:49" x14ac:dyDescent="0.25">
      <c r="AW1553" s="33">
        <v>0</v>
      </c>
    </row>
    <row r="1554" spans="49:49" x14ac:dyDescent="0.25">
      <c r="AW1554" s="33">
        <v>0</v>
      </c>
    </row>
    <row r="1555" spans="49:49" x14ac:dyDescent="0.25">
      <c r="AW1555" s="33">
        <v>0</v>
      </c>
    </row>
    <row r="1556" spans="49:49" x14ac:dyDescent="0.25">
      <c r="AW1556" s="33">
        <v>0</v>
      </c>
    </row>
    <row r="1557" spans="49:49" x14ac:dyDescent="0.25">
      <c r="AW1557" s="33">
        <v>0</v>
      </c>
    </row>
    <row r="1558" spans="49:49" x14ac:dyDescent="0.25">
      <c r="AW1558" s="33">
        <v>0</v>
      </c>
    </row>
    <row r="1559" spans="49:49" x14ac:dyDescent="0.25">
      <c r="AW1559" s="33">
        <v>0</v>
      </c>
    </row>
    <row r="1560" spans="49:49" x14ac:dyDescent="0.25">
      <c r="AW1560" s="33">
        <v>0</v>
      </c>
    </row>
    <row r="1561" spans="49:49" x14ac:dyDescent="0.25">
      <c r="AW1561" s="33">
        <v>0</v>
      </c>
    </row>
    <row r="1562" spans="49:49" x14ac:dyDescent="0.25">
      <c r="AW1562" s="33">
        <v>0</v>
      </c>
    </row>
    <row r="1563" spans="49:49" x14ac:dyDescent="0.25">
      <c r="AW1563" s="33">
        <v>0</v>
      </c>
    </row>
    <row r="1564" spans="49:49" x14ac:dyDescent="0.25">
      <c r="AW1564" s="33">
        <v>0</v>
      </c>
    </row>
    <row r="1565" spans="49:49" x14ac:dyDescent="0.25">
      <c r="AW1565" s="33">
        <v>0</v>
      </c>
    </row>
    <row r="1566" spans="49:49" x14ac:dyDescent="0.25">
      <c r="AW1566" s="33">
        <v>0</v>
      </c>
    </row>
    <row r="1567" spans="49:49" x14ac:dyDescent="0.25">
      <c r="AW1567" s="33">
        <v>0</v>
      </c>
    </row>
    <row r="1568" spans="49:49" x14ac:dyDescent="0.25">
      <c r="AW1568" s="33">
        <v>0</v>
      </c>
    </row>
    <row r="1569" spans="49:49" x14ac:dyDescent="0.25">
      <c r="AW1569" s="33">
        <v>0</v>
      </c>
    </row>
    <row r="1570" spans="49:49" x14ac:dyDescent="0.25">
      <c r="AW1570" s="33">
        <v>0</v>
      </c>
    </row>
    <row r="1571" spans="49:49" x14ac:dyDescent="0.25">
      <c r="AW1571" s="33">
        <v>0</v>
      </c>
    </row>
    <row r="1572" spans="49:49" x14ac:dyDescent="0.25">
      <c r="AW1572" s="33">
        <v>0</v>
      </c>
    </row>
    <row r="1573" spans="49:49" x14ac:dyDescent="0.25">
      <c r="AW1573" s="33">
        <v>0</v>
      </c>
    </row>
    <row r="1574" spans="49:49" x14ac:dyDescent="0.25">
      <c r="AW1574" s="33">
        <v>0</v>
      </c>
    </row>
    <row r="1575" spans="49:49" x14ac:dyDescent="0.25">
      <c r="AW1575" s="33">
        <v>0</v>
      </c>
    </row>
    <row r="1576" spans="49:49" x14ac:dyDescent="0.25">
      <c r="AW1576" s="33">
        <v>0</v>
      </c>
    </row>
    <row r="1577" spans="49:49" x14ac:dyDescent="0.25">
      <c r="AW1577" s="33">
        <v>0</v>
      </c>
    </row>
    <row r="1578" spans="49:49" x14ac:dyDescent="0.25">
      <c r="AW1578" s="33">
        <v>0</v>
      </c>
    </row>
    <row r="1579" spans="49:49" x14ac:dyDescent="0.25">
      <c r="AW1579" s="33">
        <v>0</v>
      </c>
    </row>
    <row r="1580" spans="49:49" x14ac:dyDescent="0.25">
      <c r="AW1580" s="33">
        <v>0</v>
      </c>
    </row>
    <row r="1581" spans="49:49" x14ac:dyDescent="0.25">
      <c r="AW1581" s="33">
        <v>0</v>
      </c>
    </row>
    <row r="1582" spans="49:49" x14ac:dyDescent="0.25">
      <c r="AW1582" s="33">
        <v>0</v>
      </c>
    </row>
    <row r="1583" spans="49:49" x14ac:dyDescent="0.25">
      <c r="AW1583" s="33">
        <v>0</v>
      </c>
    </row>
    <row r="1584" spans="49:49" x14ac:dyDescent="0.25">
      <c r="AW1584" s="33">
        <v>0</v>
      </c>
    </row>
    <row r="1585" spans="49:49" x14ac:dyDescent="0.25">
      <c r="AW1585" s="33">
        <v>0</v>
      </c>
    </row>
    <row r="1586" spans="49:49" x14ac:dyDescent="0.25">
      <c r="AW1586" s="33">
        <v>0</v>
      </c>
    </row>
    <row r="1587" spans="49:49" x14ac:dyDescent="0.25">
      <c r="AW1587" s="33">
        <v>0</v>
      </c>
    </row>
    <row r="1588" spans="49:49" x14ac:dyDescent="0.25">
      <c r="AW1588" s="33">
        <v>0</v>
      </c>
    </row>
    <row r="1589" spans="49:49" x14ac:dyDescent="0.25">
      <c r="AW1589" s="33">
        <v>0</v>
      </c>
    </row>
    <row r="1590" spans="49:49" x14ac:dyDescent="0.25">
      <c r="AW1590" s="33">
        <v>0</v>
      </c>
    </row>
    <row r="1591" spans="49:49" x14ac:dyDescent="0.25">
      <c r="AW1591" s="33">
        <v>0</v>
      </c>
    </row>
    <row r="1592" spans="49:49" x14ac:dyDescent="0.25">
      <c r="AW1592" s="33">
        <v>0</v>
      </c>
    </row>
    <row r="1593" spans="49:49" x14ac:dyDescent="0.25">
      <c r="AW1593" s="33">
        <v>0</v>
      </c>
    </row>
    <row r="1594" spans="49:49" x14ac:dyDescent="0.25">
      <c r="AW1594" s="33">
        <v>0</v>
      </c>
    </row>
    <row r="1595" spans="49:49" x14ac:dyDescent="0.25">
      <c r="AW1595" s="33">
        <v>0</v>
      </c>
    </row>
    <row r="1596" spans="49:49" x14ac:dyDescent="0.25">
      <c r="AW1596" s="33">
        <v>0</v>
      </c>
    </row>
    <row r="1597" spans="49:49" x14ac:dyDescent="0.25">
      <c r="AW1597" s="33">
        <v>0</v>
      </c>
    </row>
    <row r="1598" spans="49:49" x14ac:dyDescent="0.25">
      <c r="AW1598" s="33">
        <v>0</v>
      </c>
    </row>
    <row r="1599" spans="49:49" x14ac:dyDescent="0.25">
      <c r="AW1599" s="33">
        <v>0</v>
      </c>
    </row>
    <row r="1600" spans="49:49" x14ac:dyDescent="0.25">
      <c r="AW1600" s="33">
        <v>0</v>
      </c>
    </row>
    <row r="1601" spans="49:49" x14ac:dyDescent="0.25">
      <c r="AW1601" s="33">
        <v>0</v>
      </c>
    </row>
    <row r="1602" spans="49:49" x14ac:dyDescent="0.25">
      <c r="AW1602" s="33">
        <v>0</v>
      </c>
    </row>
    <row r="1603" spans="49:49" x14ac:dyDescent="0.25">
      <c r="AW1603" s="33">
        <v>0</v>
      </c>
    </row>
    <row r="1604" spans="49:49" x14ac:dyDescent="0.25">
      <c r="AW1604" s="33">
        <v>0</v>
      </c>
    </row>
    <row r="1605" spans="49:49" x14ac:dyDescent="0.25">
      <c r="AW1605" s="33">
        <v>0</v>
      </c>
    </row>
    <row r="1606" spans="49:49" x14ac:dyDescent="0.25">
      <c r="AW1606" s="33">
        <v>0</v>
      </c>
    </row>
    <row r="1607" spans="49:49" x14ac:dyDescent="0.25">
      <c r="AW1607" s="33">
        <v>0</v>
      </c>
    </row>
    <row r="1608" spans="49:49" x14ac:dyDescent="0.25">
      <c r="AW1608" s="33">
        <v>0</v>
      </c>
    </row>
    <row r="1609" spans="49:49" x14ac:dyDescent="0.25">
      <c r="AW1609" s="33">
        <v>0</v>
      </c>
    </row>
    <row r="1610" spans="49:49" x14ac:dyDescent="0.25">
      <c r="AW1610" s="33">
        <v>0</v>
      </c>
    </row>
    <row r="1611" spans="49:49" x14ac:dyDescent="0.25">
      <c r="AW1611" s="33">
        <v>0</v>
      </c>
    </row>
    <row r="1612" spans="49:49" x14ac:dyDescent="0.25">
      <c r="AW1612" s="33">
        <v>0</v>
      </c>
    </row>
    <row r="1613" spans="49:49" x14ac:dyDescent="0.25">
      <c r="AW1613" s="33">
        <v>0</v>
      </c>
    </row>
    <row r="1614" spans="49:49" x14ac:dyDescent="0.25">
      <c r="AW1614" s="33">
        <v>0</v>
      </c>
    </row>
    <row r="1615" spans="49:49" x14ac:dyDescent="0.25">
      <c r="AW1615" s="33">
        <v>0</v>
      </c>
    </row>
    <row r="1616" spans="49:49" x14ac:dyDescent="0.25">
      <c r="AW1616" s="33">
        <v>0</v>
      </c>
    </row>
    <row r="1617" spans="49:49" x14ac:dyDescent="0.25">
      <c r="AW1617" s="33">
        <v>0</v>
      </c>
    </row>
    <row r="1618" spans="49:49" x14ac:dyDescent="0.25">
      <c r="AW1618" s="33">
        <v>0</v>
      </c>
    </row>
    <row r="1619" spans="49:49" x14ac:dyDescent="0.25">
      <c r="AW1619" s="33">
        <v>0</v>
      </c>
    </row>
    <row r="1620" spans="49:49" x14ac:dyDescent="0.25">
      <c r="AW1620" s="33">
        <v>0</v>
      </c>
    </row>
    <row r="1621" spans="49:49" x14ac:dyDescent="0.25">
      <c r="AW1621" s="33">
        <v>0</v>
      </c>
    </row>
    <row r="1622" spans="49:49" x14ac:dyDescent="0.25">
      <c r="AW1622" s="33">
        <v>0</v>
      </c>
    </row>
    <row r="1623" spans="49:49" x14ac:dyDescent="0.25">
      <c r="AW1623" s="33">
        <v>0</v>
      </c>
    </row>
    <row r="1624" spans="49:49" x14ac:dyDescent="0.25">
      <c r="AW1624" s="33">
        <v>0</v>
      </c>
    </row>
    <row r="1625" spans="49:49" x14ac:dyDescent="0.25">
      <c r="AW1625" s="33">
        <v>0</v>
      </c>
    </row>
    <row r="1626" spans="49:49" x14ac:dyDescent="0.25">
      <c r="AW1626" s="33">
        <v>0</v>
      </c>
    </row>
    <row r="1627" spans="49:49" x14ac:dyDescent="0.25">
      <c r="AW1627" s="33">
        <v>0</v>
      </c>
    </row>
    <row r="1628" spans="49:49" x14ac:dyDescent="0.25">
      <c r="AW1628" s="33">
        <v>0</v>
      </c>
    </row>
    <row r="1629" spans="49:49" x14ac:dyDescent="0.25">
      <c r="AW1629" s="33">
        <v>0</v>
      </c>
    </row>
    <row r="1630" spans="49:49" x14ac:dyDescent="0.25">
      <c r="AW1630" s="33">
        <v>0</v>
      </c>
    </row>
    <row r="1631" spans="49:49" x14ac:dyDescent="0.25">
      <c r="AW1631" s="33">
        <v>0</v>
      </c>
    </row>
    <row r="1632" spans="49:49" x14ac:dyDescent="0.25">
      <c r="AW1632" s="33">
        <v>0</v>
      </c>
    </row>
    <row r="1633" spans="49:49" x14ac:dyDescent="0.25">
      <c r="AW1633" s="33">
        <v>0</v>
      </c>
    </row>
    <row r="1634" spans="49:49" x14ac:dyDescent="0.25">
      <c r="AW1634" s="33">
        <v>0</v>
      </c>
    </row>
    <row r="1635" spans="49:49" x14ac:dyDescent="0.25">
      <c r="AW1635" s="33">
        <v>0</v>
      </c>
    </row>
    <row r="1636" spans="49:49" x14ac:dyDescent="0.25">
      <c r="AW1636" s="33">
        <v>0</v>
      </c>
    </row>
    <row r="1637" spans="49:49" x14ac:dyDescent="0.25">
      <c r="AW1637" s="33">
        <v>0</v>
      </c>
    </row>
    <row r="1638" spans="49:49" x14ac:dyDescent="0.25">
      <c r="AW1638" s="33">
        <v>0</v>
      </c>
    </row>
    <row r="1639" spans="49:49" x14ac:dyDescent="0.25">
      <c r="AW1639" s="33">
        <v>0</v>
      </c>
    </row>
    <row r="1640" spans="49:49" x14ac:dyDescent="0.25">
      <c r="AW1640" s="33">
        <v>0</v>
      </c>
    </row>
    <row r="1641" spans="49:49" x14ac:dyDescent="0.25">
      <c r="AW1641" s="33">
        <v>0</v>
      </c>
    </row>
    <row r="1642" spans="49:49" x14ac:dyDescent="0.25">
      <c r="AW1642" s="33">
        <v>0</v>
      </c>
    </row>
    <row r="1643" spans="49:49" x14ac:dyDescent="0.25">
      <c r="AW1643" s="33">
        <v>0</v>
      </c>
    </row>
    <row r="1644" spans="49:49" x14ac:dyDescent="0.25">
      <c r="AW1644" s="33">
        <v>0</v>
      </c>
    </row>
    <row r="1645" spans="49:49" x14ac:dyDescent="0.25">
      <c r="AW1645" s="33">
        <v>0</v>
      </c>
    </row>
    <row r="1646" spans="49:49" x14ac:dyDescent="0.25">
      <c r="AW1646" s="33">
        <v>0</v>
      </c>
    </row>
    <row r="1647" spans="49:49" x14ac:dyDescent="0.25">
      <c r="AW1647" s="33">
        <v>0</v>
      </c>
    </row>
    <row r="1648" spans="49:49" x14ac:dyDescent="0.25">
      <c r="AW1648" s="33">
        <v>0</v>
      </c>
    </row>
    <row r="1649" spans="49:49" x14ac:dyDescent="0.25">
      <c r="AW1649" s="33">
        <v>0</v>
      </c>
    </row>
    <row r="1650" spans="49:49" x14ac:dyDescent="0.25">
      <c r="AW1650" s="33">
        <v>0</v>
      </c>
    </row>
    <row r="1651" spans="49:49" x14ac:dyDescent="0.25">
      <c r="AW1651" s="33">
        <v>0</v>
      </c>
    </row>
    <row r="1652" spans="49:49" x14ac:dyDescent="0.25">
      <c r="AW1652" s="33">
        <v>0</v>
      </c>
    </row>
    <row r="1653" spans="49:49" x14ac:dyDescent="0.25">
      <c r="AW1653" s="33">
        <v>0</v>
      </c>
    </row>
    <row r="1654" spans="49:49" x14ac:dyDescent="0.25">
      <c r="AW1654" s="33">
        <v>0</v>
      </c>
    </row>
    <row r="1655" spans="49:49" x14ac:dyDescent="0.25">
      <c r="AW1655" s="33">
        <v>0</v>
      </c>
    </row>
    <row r="1656" spans="49:49" x14ac:dyDescent="0.25">
      <c r="AW1656" s="33">
        <v>0</v>
      </c>
    </row>
    <row r="1657" spans="49:49" x14ac:dyDescent="0.25">
      <c r="AW1657" s="33">
        <v>0</v>
      </c>
    </row>
    <row r="1658" spans="49:49" x14ac:dyDescent="0.25">
      <c r="AW1658" s="33">
        <v>0</v>
      </c>
    </row>
    <row r="1659" spans="49:49" x14ac:dyDescent="0.25">
      <c r="AW1659" s="33">
        <v>0</v>
      </c>
    </row>
    <row r="1660" spans="49:49" x14ac:dyDescent="0.25">
      <c r="AW1660" s="33">
        <v>0</v>
      </c>
    </row>
    <row r="1661" spans="49:49" x14ac:dyDescent="0.25">
      <c r="AW1661" s="33">
        <v>0</v>
      </c>
    </row>
    <row r="1662" spans="49:49" x14ac:dyDescent="0.25">
      <c r="AW1662" s="33">
        <v>0</v>
      </c>
    </row>
    <row r="1663" spans="49:49" x14ac:dyDescent="0.25">
      <c r="AW1663" s="33">
        <v>0</v>
      </c>
    </row>
    <row r="1664" spans="49:49" x14ac:dyDescent="0.25">
      <c r="AW1664" s="33">
        <v>0</v>
      </c>
    </row>
    <row r="1665" spans="49:49" x14ac:dyDescent="0.25">
      <c r="AW1665" s="33">
        <v>0</v>
      </c>
    </row>
    <row r="1666" spans="49:49" x14ac:dyDescent="0.25">
      <c r="AW1666" s="33">
        <v>0</v>
      </c>
    </row>
    <row r="1667" spans="49:49" x14ac:dyDescent="0.25">
      <c r="AW1667" s="33">
        <v>0</v>
      </c>
    </row>
    <row r="1668" spans="49:49" x14ac:dyDescent="0.25">
      <c r="AW1668" s="33">
        <v>0</v>
      </c>
    </row>
    <row r="1669" spans="49:49" x14ac:dyDescent="0.25">
      <c r="AW1669" s="33">
        <v>0</v>
      </c>
    </row>
    <row r="1670" spans="49:49" x14ac:dyDescent="0.25">
      <c r="AW1670" s="33">
        <v>0</v>
      </c>
    </row>
    <row r="1671" spans="49:49" x14ac:dyDescent="0.25">
      <c r="AW1671" s="33">
        <v>0</v>
      </c>
    </row>
    <row r="1672" spans="49:49" x14ac:dyDescent="0.25">
      <c r="AW1672" s="33">
        <v>0</v>
      </c>
    </row>
    <row r="1673" spans="49:49" x14ac:dyDescent="0.25">
      <c r="AW1673" s="33">
        <v>0</v>
      </c>
    </row>
    <row r="1674" spans="49:49" x14ac:dyDescent="0.25">
      <c r="AW1674" s="33">
        <v>0</v>
      </c>
    </row>
    <row r="1675" spans="49:49" x14ac:dyDescent="0.25">
      <c r="AW1675" s="33">
        <v>0</v>
      </c>
    </row>
    <row r="1676" spans="49:49" x14ac:dyDescent="0.25">
      <c r="AW1676" s="33">
        <v>0</v>
      </c>
    </row>
    <row r="1677" spans="49:49" x14ac:dyDescent="0.25">
      <c r="AW1677" s="33">
        <v>0</v>
      </c>
    </row>
    <row r="1678" spans="49:49" x14ac:dyDescent="0.25">
      <c r="AW1678" s="33">
        <v>0</v>
      </c>
    </row>
    <row r="1679" spans="49:49" x14ac:dyDescent="0.25">
      <c r="AW1679" s="33">
        <v>0</v>
      </c>
    </row>
    <row r="1680" spans="49:49" x14ac:dyDescent="0.25">
      <c r="AW1680" s="33">
        <v>0</v>
      </c>
    </row>
    <row r="1681" spans="49:49" x14ac:dyDescent="0.25">
      <c r="AW1681" s="33">
        <v>0</v>
      </c>
    </row>
    <row r="1682" spans="49:49" x14ac:dyDescent="0.25">
      <c r="AW1682" s="33">
        <v>0</v>
      </c>
    </row>
    <row r="1683" spans="49:49" x14ac:dyDescent="0.25">
      <c r="AW1683" s="33">
        <v>0</v>
      </c>
    </row>
    <row r="1684" spans="49:49" x14ac:dyDescent="0.25">
      <c r="AW1684" s="33">
        <v>0</v>
      </c>
    </row>
    <row r="1685" spans="49:49" x14ac:dyDescent="0.25">
      <c r="AW1685" s="33">
        <v>0</v>
      </c>
    </row>
    <row r="1686" spans="49:49" x14ac:dyDescent="0.25">
      <c r="AW1686" s="33">
        <v>0</v>
      </c>
    </row>
    <row r="1687" spans="49:49" x14ac:dyDescent="0.25">
      <c r="AW1687" s="33">
        <v>0</v>
      </c>
    </row>
    <row r="1688" spans="49:49" x14ac:dyDescent="0.25">
      <c r="AW1688" s="33">
        <v>0</v>
      </c>
    </row>
    <row r="1689" spans="49:49" x14ac:dyDescent="0.25">
      <c r="AW1689" s="33">
        <v>0</v>
      </c>
    </row>
    <row r="1690" spans="49:49" x14ac:dyDescent="0.25">
      <c r="AW1690" s="33">
        <v>0</v>
      </c>
    </row>
    <row r="1691" spans="49:49" x14ac:dyDescent="0.25">
      <c r="AW1691" s="33">
        <v>0</v>
      </c>
    </row>
    <row r="1692" spans="49:49" x14ac:dyDescent="0.25">
      <c r="AW1692" s="33">
        <v>0</v>
      </c>
    </row>
    <row r="1693" spans="49:49" x14ac:dyDescent="0.25">
      <c r="AW1693" s="33">
        <v>0</v>
      </c>
    </row>
    <row r="1694" spans="49:49" x14ac:dyDescent="0.25">
      <c r="AW1694" s="33">
        <v>0</v>
      </c>
    </row>
    <row r="1695" spans="49:49" x14ac:dyDescent="0.25">
      <c r="AW1695" s="33">
        <v>0</v>
      </c>
    </row>
    <row r="1696" spans="49:49" x14ac:dyDescent="0.25">
      <c r="AW1696" s="33">
        <v>0</v>
      </c>
    </row>
    <row r="1697" spans="49:49" x14ac:dyDescent="0.25">
      <c r="AW1697" s="33">
        <v>0</v>
      </c>
    </row>
    <row r="1698" spans="49:49" x14ac:dyDescent="0.25">
      <c r="AW1698" s="33">
        <v>0</v>
      </c>
    </row>
    <row r="1699" spans="49:49" x14ac:dyDescent="0.25">
      <c r="AW1699" s="33">
        <v>0</v>
      </c>
    </row>
    <row r="1700" spans="49:49" x14ac:dyDescent="0.25">
      <c r="AW1700" s="33">
        <v>0</v>
      </c>
    </row>
    <row r="1701" spans="49:49" x14ac:dyDescent="0.25">
      <c r="AW1701" s="33">
        <v>0</v>
      </c>
    </row>
    <row r="1702" spans="49:49" x14ac:dyDescent="0.25">
      <c r="AW1702" s="33">
        <v>0</v>
      </c>
    </row>
    <row r="1703" spans="49:49" x14ac:dyDescent="0.25">
      <c r="AW1703" s="33">
        <v>0</v>
      </c>
    </row>
    <row r="1704" spans="49:49" x14ac:dyDescent="0.25">
      <c r="AW1704" s="33">
        <v>0</v>
      </c>
    </row>
    <row r="1705" spans="49:49" x14ac:dyDescent="0.25">
      <c r="AW1705" s="33">
        <v>0</v>
      </c>
    </row>
    <row r="1706" spans="49:49" x14ac:dyDescent="0.25">
      <c r="AW1706" s="33">
        <v>0</v>
      </c>
    </row>
    <row r="1707" spans="49:49" x14ac:dyDescent="0.25">
      <c r="AW1707" s="33">
        <v>0</v>
      </c>
    </row>
    <row r="1708" spans="49:49" x14ac:dyDescent="0.25">
      <c r="AW1708" s="33">
        <v>0</v>
      </c>
    </row>
    <row r="1709" spans="49:49" x14ac:dyDescent="0.25">
      <c r="AW1709" s="33">
        <v>0</v>
      </c>
    </row>
    <row r="1710" spans="49:49" x14ac:dyDescent="0.25">
      <c r="AW1710" s="33">
        <v>0</v>
      </c>
    </row>
    <row r="1711" spans="49:49" x14ac:dyDescent="0.25">
      <c r="AW1711" s="33">
        <v>0</v>
      </c>
    </row>
    <row r="1712" spans="49:49" x14ac:dyDescent="0.25">
      <c r="AW1712" s="33">
        <v>0</v>
      </c>
    </row>
    <row r="1713" spans="49:49" x14ac:dyDescent="0.25">
      <c r="AW1713" s="33">
        <v>0</v>
      </c>
    </row>
    <row r="1714" spans="49:49" x14ac:dyDescent="0.25">
      <c r="AW1714" s="33">
        <v>0</v>
      </c>
    </row>
    <row r="1715" spans="49:49" x14ac:dyDescent="0.25">
      <c r="AW1715" s="33">
        <v>0</v>
      </c>
    </row>
    <row r="1716" spans="49:49" x14ac:dyDescent="0.25">
      <c r="AW1716" s="33">
        <v>0</v>
      </c>
    </row>
    <row r="1717" spans="49:49" x14ac:dyDescent="0.25">
      <c r="AW1717" s="33">
        <v>0</v>
      </c>
    </row>
    <row r="1718" spans="49:49" x14ac:dyDescent="0.25">
      <c r="AW1718" s="33">
        <v>0</v>
      </c>
    </row>
    <row r="1719" spans="49:49" x14ac:dyDescent="0.25">
      <c r="AW1719" s="33">
        <v>0</v>
      </c>
    </row>
    <row r="1720" spans="49:49" x14ac:dyDescent="0.25">
      <c r="AW1720" s="33">
        <v>0</v>
      </c>
    </row>
    <row r="1721" spans="49:49" x14ac:dyDescent="0.25">
      <c r="AW1721" s="33">
        <v>0</v>
      </c>
    </row>
    <row r="1722" spans="49:49" x14ac:dyDescent="0.25">
      <c r="AW1722" s="33">
        <v>0</v>
      </c>
    </row>
    <row r="1723" spans="49:49" x14ac:dyDescent="0.25">
      <c r="AW1723" s="33">
        <v>0</v>
      </c>
    </row>
    <row r="1724" spans="49:49" x14ac:dyDescent="0.25">
      <c r="AW1724" s="33">
        <v>0</v>
      </c>
    </row>
    <row r="1725" spans="49:49" x14ac:dyDescent="0.25">
      <c r="AW1725" s="33">
        <v>0</v>
      </c>
    </row>
    <row r="1726" spans="49:49" x14ac:dyDescent="0.25">
      <c r="AW1726" s="33">
        <v>0</v>
      </c>
    </row>
    <row r="1727" spans="49:49" x14ac:dyDescent="0.25">
      <c r="AW1727" s="33">
        <v>0</v>
      </c>
    </row>
    <row r="1728" spans="49:49" x14ac:dyDescent="0.25">
      <c r="AW1728" s="33">
        <v>0</v>
      </c>
    </row>
    <row r="1729" spans="49:49" x14ac:dyDescent="0.25">
      <c r="AW1729" s="33">
        <v>0</v>
      </c>
    </row>
    <row r="1730" spans="49:49" x14ac:dyDescent="0.25">
      <c r="AW1730" s="33">
        <v>0</v>
      </c>
    </row>
    <row r="1731" spans="49:49" x14ac:dyDescent="0.25">
      <c r="AW1731" s="33">
        <v>0</v>
      </c>
    </row>
    <row r="1732" spans="49:49" x14ac:dyDescent="0.25">
      <c r="AW1732" s="33">
        <v>0</v>
      </c>
    </row>
    <row r="1733" spans="49:49" x14ac:dyDescent="0.25">
      <c r="AW1733" s="33">
        <v>0</v>
      </c>
    </row>
    <row r="1734" spans="49:49" x14ac:dyDescent="0.25">
      <c r="AW1734" s="33">
        <v>0</v>
      </c>
    </row>
    <row r="1735" spans="49:49" x14ac:dyDescent="0.25">
      <c r="AW1735" s="33">
        <v>0</v>
      </c>
    </row>
    <row r="1736" spans="49:49" x14ac:dyDescent="0.25">
      <c r="AW1736" s="33">
        <v>0</v>
      </c>
    </row>
    <row r="1737" spans="49:49" x14ac:dyDescent="0.25">
      <c r="AW1737" s="33">
        <v>0</v>
      </c>
    </row>
    <row r="1738" spans="49:49" x14ac:dyDescent="0.25">
      <c r="AW1738" s="33">
        <v>0</v>
      </c>
    </row>
    <row r="1739" spans="49:49" x14ac:dyDescent="0.25">
      <c r="AW1739" s="33">
        <v>0</v>
      </c>
    </row>
    <row r="1740" spans="49:49" x14ac:dyDescent="0.25">
      <c r="AW1740" s="33">
        <v>0</v>
      </c>
    </row>
    <row r="1741" spans="49:49" x14ac:dyDescent="0.25">
      <c r="AW1741" s="33">
        <v>0</v>
      </c>
    </row>
    <row r="1742" spans="49:49" x14ac:dyDescent="0.25">
      <c r="AW1742" s="33">
        <v>0</v>
      </c>
    </row>
    <row r="1743" spans="49:49" x14ac:dyDescent="0.25">
      <c r="AW1743" s="33">
        <v>0</v>
      </c>
    </row>
    <row r="1744" spans="49:49" x14ac:dyDescent="0.25">
      <c r="AW1744" s="33">
        <v>0</v>
      </c>
    </row>
    <row r="1745" spans="49:49" x14ac:dyDescent="0.25">
      <c r="AW1745" s="33">
        <v>0</v>
      </c>
    </row>
    <row r="1746" spans="49:49" x14ac:dyDescent="0.25">
      <c r="AW1746" s="33">
        <v>0</v>
      </c>
    </row>
    <row r="1747" spans="49:49" x14ac:dyDescent="0.25">
      <c r="AW1747" s="33">
        <v>0</v>
      </c>
    </row>
    <row r="1748" spans="49:49" x14ac:dyDescent="0.25">
      <c r="AW1748" s="33">
        <v>0</v>
      </c>
    </row>
    <row r="1749" spans="49:49" x14ac:dyDescent="0.25">
      <c r="AW1749" s="33">
        <v>0</v>
      </c>
    </row>
    <row r="1750" spans="49:49" x14ac:dyDescent="0.25">
      <c r="AW1750" s="33">
        <v>0</v>
      </c>
    </row>
    <row r="1751" spans="49:49" x14ac:dyDescent="0.25">
      <c r="AW1751" s="33">
        <v>0</v>
      </c>
    </row>
    <row r="1752" spans="49:49" x14ac:dyDescent="0.25">
      <c r="AW1752" s="33">
        <v>0</v>
      </c>
    </row>
    <row r="1753" spans="49:49" x14ac:dyDescent="0.25">
      <c r="AW1753" s="33">
        <v>0</v>
      </c>
    </row>
    <row r="1754" spans="49:49" x14ac:dyDescent="0.25">
      <c r="AW1754" s="33">
        <v>0</v>
      </c>
    </row>
    <row r="1755" spans="49:49" x14ac:dyDescent="0.25">
      <c r="AW1755" s="33">
        <v>0</v>
      </c>
    </row>
    <row r="1756" spans="49:49" x14ac:dyDescent="0.25">
      <c r="AW1756" s="33">
        <v>0</v>
      </c>
    </row>
    <row r="1757" spans="49:49" x14ac:dyDescent="0.25">
      <c r="AW1757" s="33">
        <v>0</v>
      </c>
    </row>
    <row r="1758" spans="49:49" x14ac:dyDescent="0.25">
      <c r="AW1758" s="33">
        <v>0</v>
      </c>
    </row>
    <row r="1759" spans="49:49" x14ac:dyDescent="0.25">
      <c r="AW1759" s="33">
        <v>0</v>
      </c>
    </row>
    <row r="1760" spans="49:49" x14ac:dyDescent="0.25">
      <c r="AW1760" s="33">
        <v>0</v>
      </c>
    </row>
    <row r="1761" spans="49:49" x14ac:dyDescent="0.25">
      <c r="AW1761" s="33">
        <v>0</v>
      </c>
    </row>
    <row r="1762" spans="49:49" x14ac:dyDescent="0.25">
      <c r="AW1762" s="33">
        <v>0</v>
      </c>
    </row>
    <row r="1763" spans="49:49" x14ac:dyDescent="0.25">
      <c r="AW1763" s="33">
        <v>0</v>
      </c>
    </row>
    <row r="1764" spans="49:49" x14ac:dyDescent="0.25">
      <c r="AW1764" s="33">
        <v>0</v>
      </c>
    </row>
    <row r="1765" spans="49:49" x14ac:dyDescent="0.25">
      <c r="AW1765" s="33">
        <v>0</v>
      </c>
    </row>
    <row r="1766" spans="49:49" x14ac:dyDescent="0.25">
      <c r="AW1766" s="33">
        <v>0</v>
      </c>
    </row>
    <row r="1767" spans="49:49" x14ac:dyDescent="0.25">
      <c r="AW1767" s="33">
        <v>0</v>
      </c>
    </row>
    <row r="1768" spans="49:49" x14ac:dyDescent="0.25">
      <c r="AW1768" s="33">
        <v>0</v>
      </c>
    </row>
    <row r="1769" spans="49:49" x14ac:dyDescent="0.25">
      <c r="AW1769" s="33">
        <v>0</v>
      </c>
    </row>
    <row r="1770" spans="49:49" x14ac:dyDescent="0.25">
      <c r="AW1770" s="33">
        <v>0</v>
      </c>
    </row>
    <row r="1771" spans="49:49" x14ac:dyDescent="0.25">
      <c r="AW1771" s="33">
        <v>0</v>
      </c>
    </row>
    <row r="1772" spans="49:49" x14ac:dyDescent="0.25">
      <c r="AW1772" s="33">
        <v>0</v>
      </c>
    </row>
    <row r="1773" spans="49:49" x14ac:dyDescent="0.25">
      <c r="AW1773" s="33">
        <v>0</v>
      </c>
    </row>
    <row r="1774" spans="49:49" x14ac:dyDescent="0.25">
      <c r="AW1774" s="33">
        <v>0</v>
      </c>
    </row>
    <row r="1775" spans="49:49" x14ac:dyDescent="0.25">
      <c r="AW1775" s="33">
        <v>0</v>
      </c>
    </row>
    <row r="1776" spans="49:49" x14ac:dyDescent="0.25">
      <c r="AW1776" s="33">
        <v>0</v>
      </c>
    </row>
    <row r="1777" spans="49:49" x14ac:dyDescent="0.25">
      <c r="AW1777" s="33">
        <v>0</v>
      </c>
    </row>
    <row r="1778" spans="49:49" x14ac:dyDescent="0.25">
      <c r="AW1778" s="33">
        <v>0</v>
      </c>
    </row>
    <row r="1779" spans="49:49" x14ac:dyDescent="0.25">
      <c r="AW1779" s="33">
        <v>0</v>
      </c>
    </row>
    <row r="1780" spans="49:49" x14ac:dyDescent="0.25">
      <c r="AW1780" s="33">
        <v>0</v>
      </c>
    </row>
    <row r="1781" spans="49:49" x14ac:dyDescent="0.25">
      <c r="AW1781" s="33">
        <v>0</v>
      </c>
    </row>
    <row r="1782" spans="49:49" x14ac:dyDescent="0.25">
      <c r="AW1782" s="33">
        <v>0</v>
      </c>
    </row>
    <row r="1783" spans="49:49" x14ac:dyDescent="0.25">
      <c r="AW1783" s="33">
        <v>0</v>
      </c>
    </row>
    <row r="1784" spans="49:49" x14ac:dyDescent="0.25">
      <c r="AW1784" s="33">
        <v>0</v>
      </c>
    </row>
    <row r="1785" spans="49:49" x14ac:dyDescent="0.25">
      <c r="AW1785" s="33">
        <v>0</v>
      </c>
    </row>
    <row r="1786" spans="49:49" x14ac:dyDescent="0.25">
      <c r="AW1786" s="33">
        <v>0</v>
      </c>
    </row>
    <row r="1787" spans="49:49" x14ac:dyDescent="0.25">
      <c r="AW1787" s="33">
        <v>0</v>
      </c>
    </row>
    <row r="1788" spans="49:49" x14ac:dyDescent="0.25">
      <c r="AW1788" s="33">
        <v>0</v>
      </c>
    </row>
    <row r="1789" spans="49:49" x14ac:dyDescent="0.25">
      <c r="AW1789" s="33">
        <v>0</v>
      </c>
    </row>
    <row r="1790" spans="49:49" x14ac:dyDescent="0.25">
      <c r="AW1790" s="33">
        <v>0</v>
      </c>
    </row>
    <row r="1791" spans="49:49" x14ac:dyDescent="0.25">
      <c r="AW1791" s="33">
        <v>0</v>
      </c>
    </row>
    <row r="1792" spans="49:49" x14ac:dyDescent="0.25">
      <c r="AW1792" s="33">
        <v>0</v>
      </c>
    </row>
    <row r="1793" spans="49:49" x14ac:dyDescent="0.25">
      <c r="AW1793" s="33">
        <v>0</v>
      </c>
    </row>
    <row r="1794" spans="49:49" x14ac:dyDescent="0.25">
      <c r="AW1794" s="33">
        <v>0</v>
      </c>
    </row>
    <row r="1795" spans="49:49" x14ac:dyDescent="0.25">
      <c r="AW1795" s="33">
        <v>0</v>
      </c>
    </row>
    <row r="1796" spans="49:49" x14ac:dyDescent="0.25">
      <c r="AW1796" s="33">
        <v>0</v>
      </c>
    </row>
    <row r="1797" spans="49:49" x14ac:dyDescent="0.25">
      <c r="AW1797" s="33">
        <v>0</v>
      </c>
    </row>
    <row r="1798" spans="49:49" x14ac:dyDescent="0.25">
      <c r="AW1798" s="33">
        <v>0</v>
      </c>
    </row>
    <row r="1799" spans="49:49" x14ac:dyDescent="0.25">
      <c r="AW1799" s="33">
        <v>0</v>
      </c>
    </row>
    <row r="1800" spans="49:49" x14ac:dyDescent="0.25">
      <c r="AW1800" s="33">
        <v>0</v>
      </c>
    </row>
    <row r="1801" spans="49:49" x14ac:dyDescent="0.25">
      <c r="AW1801" s="33">
        <v>0</v>
      </c>
    </row>
    <row r="1802" spans="49:49" x14ac:dyDescent="0.25">
      <c r="AW1802" s="33">
        <v>0</v>
      </c>
    </row>
    <row r="1803" spans="49:49" x14ac:dyDescent="0.25">
      <c r="AW1803" s="33">
        <v>0</v>
      </c>
    </row>
    <row r="1804" spans="49:49" x14ac:dyDescent="0.25">
      <c r="AW1804" s="33">
        <v>0</v>
      </c>
    </row>
    <row r="1805" spans="49:49" x14ac:dyDescent="0.25">
      <c r="AW1805" s="33">
        <v>0</v>
      </c>
    </row>
    <row r="1806" spans="49:49" x14ac:dyDescent="0.25">
      <c r="AW1806" s="33">
        <v>0</v>
      </c>
    </row>
    <row r="1807" spans="49:49" x14ac:dyDescent="0.25">
      <c r="AW1807" s="33">
        <v>0</v>
      </c>
    </row>
    <row r="1808" spans="49:49" x14ac:dyDescent="0.25">
      <c r="AW1808" s="33">
        <v>0</v>
      </c>
    </row>
    <row r="1809" spans="49:49" x14ac:dyDescent="0.25">
      <c r="AW1809" s="33">
        <v>0</v>
      </c>
    </row>
    <row r="1810" spans="49:49" x14ac:dyDescent="0.25">
      <c r="AW1810" s="33">
        <v>0</v>
      </c>
    </row>
    <row r="1811" spans="49:49" x14ac:dyDescent="0.25">
      <c r="AW1811" s="33">
        <v>0</v>
      </c>
    </row>
    <row r="1812" spans="49:49" x14ac:dyDescent="0.25">
      <c r="AW1812" s="33">
        <v>0</v>
      </c>
    </row>
    <row r="1813" spans="49:49" x14ac:dyDescent="0.25">
      <c r="AW1813" s="33">
        <v>0</v>
      </c>
    </row>
    <row r="1814" spans="49:49" x14ac:dyDescent="0.25">
      <c r="AW1814" s="33">
        <v>0</v>
      </c>
    </row>
    <row r="1815" spans="49:49" x14ac:dyDescent="0.25">
      <c r="AW1815" s="33">
        <v>0</v>
      </c>
    </row>
    <row r="1816" spans="49:49" x14ac:dyDescent="0.25">
      <c r="AW1816" s="33">
        <v>0</v>
      </c>
    </row>
    <row r="1817" spans="49:49" x14ac:dyDescent="0.25">
      <c r="AW1817" s="33">
        <v>0</v>
      </c>
    </row>
    <row r="1818" spans="49:49" x14ac:dyDescent="0.25">
      <c r="AW1818" s="33">
        <v>0</v>
      </c>
    </row>
    <row r="1819" spans="49:49" x14ac:dyDescent="0.25">
      <c r="AW1819" s="33">
        <v>0</v>
      </c>
    </row>
    <row r="1820" spans="49:49" x14ac:dyDescent="0.25">
      <c r="AW1820" s="33">
        <v>0</v>
      </c>
    </row>
    <row r="1821" spans="49:49" x14ac:dyDescent="0.25">
      <c r="AW1821" s="33">
        <v>0</v>
      </c>
    </row>
    <row r="1822" spans="49:49" x14ac:dyDescent="0.25">
      <c r="AW1822" s="33">
        <v>0</v>
      </c>
    </row>
    <row r="1823" spans="49:49" x14ac:dyDescent="0.25">
      <c r="AW1823" s="33">
        <v>0</v>
      </c>
    </row>
    <row r="1824" spans="49:49" x14ac:dyDescent="0.25">
      <c r="AW1824" s="33">
        <v>0</v>
      </c>
    </row>
    <row r="1825" spans="49:49" x14ac:dyDescent="0.25">
      <c r="AW1825" s="33">
        <v>0</v>
      </c>
    </row>
    <row r="1826" spans="49:49" x14ac:dyDescent="0.25">
      <c r="AW1826" s="33">
        <v>0</v>
      </c>
    </row>
    <row r="1827" spans="49:49" x14ac:dyDescent="0.25">
      <c r="AW1827" s="33">
        <v>0</v>
      </c>
    </row>
    <row r="1828" spans="49:49" x14ac:dyDescent="0.25">
      <c r="AW1828" s="33">
        <v>0</v>
      </c>
    </row>
    <row r="1829" spans="49:49" x14ac:dyDescent="0.25">
      <c r="AW1829" s="33">
        <v>0</v>
      </c>
    </row>
    <row r="1830" spans="49:49" x14ac:dyDescent="0.25">
      <c r="AW1830" s="33">
        <v>0</v>
      </c>
    </row>
    <row r="1831" spans="49:49" x14ac:dyDescent="0.25">
      <c r="AW1831" s="33">
        <v>0</v>
      </c>
    </row>
    <row r="1832" spans="49:49" x14ac:dyDescent="0.25">
      <c r="AW1832" s="33">
        <v>0</v>
      </c>
    </row>
    <row r="1833" spans="49:49" x14ac:dyDescent="0.25">
      <c r="AW1833" s="33">
        <v>0</v>
      </c>
    </row>
    <row r="1834" spans="49:49" x14ac:dyDescent="0.25">
      <c r="AW1834" s="33">
        <v>0</v>
      </c>
    </row>
    <row r="1835" spans="49:49" x14ac:dyDescent="0.25">
      <c r="AW1835" s="33">
        <v>0</v>
      </c>
    </row>
    <row r="1836" spans="49:49" x14ac:dyDescent="0.25">
      <c r="AW1836" s="33">
        <v>0</v>
      </c>
    </row>
    <row r="1837" spans="49:49" x14ac:dyDescent="0.25">
      <c r="AW1837" s="33">
        <v>0</v>
      </c>
    </row>
    <row r="1838" spans="49:49" x14ac:dyDescent="0.25">
      <c r="AW1838" s="33">
        <v>0</v>
      </c>
    </row>
    <row r="1839" spans="49:49" x14ac:dyDescent="0.25">
      <c r="AW1839" s="33">
        <v>0</v>
      </c>
    </row>
    <row r="1840" spans="49:49" x14ac:dyDescent="0.25">
      <c r="AW1840" s="33">
        <v>0</v>
      </c>
    </row>
    <row r="1841" spans="49:49" x14ac:dyDescent="0.25">
      <c r="AW1841" s="33">
        <v>0</v>
      </c>
    </row>
    <row r="1842" spans="49:49" x14ac:dyDescent="0.25">
      <c r="AW1842" s="33">
        <v>0</v>
      </c>
    </row>
    <row r="1843" spans="49:49" x14ac:dyDescent="0.25">
      <c r="AW1843" s="33">
        <v>0</v>
      </c>
    </row>
    <row r="1844" spans="49:49" x14ac:dyDescent="0.25">
      <c r="AW1844" s="33">
        <v>0</v>
      </c>
    </row>
    <row r="1845" spans="49:49" x14ac:dyDescent="0.25">
      <c r="AW1845" s="33">
        <v>0</v>
      </c>
    </row>
    <row r="1846" spans="49:49" x14ac:dyDescent="0.25">
      <c r="AW1846" s="33">
        <v>0</v>
      </c>
    </row>
    <row r="1847" spans="49:49" x14ac:dyDescent="0.25">
      <c r="AW1847" s="33">
        <v>0</v>
      </c>
    </row>
    <row r="1848" spans="49:49" x14ac:dyDescent="0.25">
      <c r="AW1848" s="33">
        <v>0</v>
      </c>
    </row>
    <row r="1849" spans="49:49" x14ac:dyDescent="0.25">
      <c r="AW1849" s="33">
        <v>0</v>
      </c>
    </row>
    <row r="1850" spans="49:49" x14ac:dyDescent="0.25">
      <c r="AW1850" s="33">
        <v>0</v>
      </c>
    </row>
    <row r="1851" spans="49:49" x14ac:dyDescent="0.25">
      <c r="AW1851" s="33">
        <v>0</v>
      </c>
    </row>
    <row r="1852" spans="49:49" x14ac:dyDescent="0.25">
      <c r="AW1852" s="33">
        <v>0</v>
      </c>
    </row>
    <row r="1853" spans="49:49" x14ac:dyDescent="0.25">
      <c r="AW1853" s="33">
        <v>0</v>
      </c>
    </row>
    <row r="1854" spans="49:49" x14ac:dyDescent="0.25">
      <c r="AW1854" s="33">
        <v>0</v>
      </c>
    </row>
    <row r="1855" spans="49:49" x14ac:dyDescent="0.25">
      <c r="AW1855" s="33">
        <v>0</v>
      </c>
    </row>
    <row r="1856" spans="49:49" x14ac:dyDescent="0.25">
      <c r="AW1856" s="33">
        <v>0</v>
      </c>
    </row>
    <row r="1857" spans="49:49" x14ac:dyDescent="0.25">
      <c r="AW1857" s="33">
        <v>0</v>
      </c>
    </row>
    <row r="1858" spans="49:49" x14ac:dyDescent="0.25">
      <c r="AW1858" s="33">
        <v>0</v>
      </c>
    </row>
    <row r="1859" spans="49:49" x14ac:dyDescent="0.25">
      <c r="AW1859" s="33">
        <v>0</v>
      </c>
    </row>
    <row r="1860" spans="49:49" x14ac:dyDescent="0.25">
      <c r="AW1860" s="33">
        <v>0</v>
      </c>
    </row>
    <row r="1861" spans="49:49" x14ac:dyDescent="0.25">
      <c r="AW1861" s="33">
        <v>0</v>
      </c>
    </row>
    <row r="1862" spans="49:49" x14ac:dyDescent="0.25">
      <c r="AW1862" s="33">
        <v>0</v>
      </c>
    </row>
    <row r="1863" spans="49:49" x14ac:dyDescent="0.25">
      <c r="AW1863" s="33">
        <v>0</v>
      </c>
    </row>
    <row r="1864" spans="49:49" x14ac:dyDescent="0.25">
      <c r="AW1864" s="33">
        <v>0</v>
      </c>
    </row>
    <row r="1865" spans="49:49" x14ac:dyDescent="0.25">
      <c r="AW1865" s="33">
        <v>0</v>
      </c>
    </row>
    <row r="1866" spans="49:49" x14ac:dyDescent="0.25">
      <c r="AW1866" s="33">
        <v>0</v>
      </c>
    </row>
    <row r="1867" spans="49:49" x14ac:dyDescent="0.25">
      <c r="AW1867" s="33">
        <v>0</v>
      </c>
    </row>
    <row r="1868" spans="49:49" x14ac:dyDescent="0.25">
      <c r="AW1868" s="33">
        <v>0</v>
      </c>
    </row>
    <row r="1869" spans="49:49" x14ac:dyDescent="0.25">
      <c r="AW1869" s="33">
        <v>0</v>
      </c>
    </row>
    <row r="1870" spans="49:49" x14ac:dyDescent="0.25">
      <c r="AW1870" s="33">
        <v>0</v>
      </c>
    </row>
    <row r="1871" spans="49:49" x14ac:dyDescent="0.25">
      <c r="AW1871" s="33">
        <v>0</v>
      </c>
    </row>
    <row r="1872" spans="49:49" x14ac:dyDescent="0.25">
      <c r="AW1872" s="33">
        <v>0</v>
      </c>
    </row>
    <row r="1873" spans="49:49" x14ac:dyDescent="0.25">
      <c r="AW1873" s="33">
        <v>0</v>
      </c>
    </row>
    <row r="1874" spans="49:49" x14ac:dyDescent="0.25">
      <c r="AW1874" s="33">
        <v>0</v>
      </c>
    </row>
    <row r="1875" spans="49:49" x14ac:dyDescent="0.25">
      <c r="AW1875" s="33">
        <v>0</v>
      </c>
    </row>
    <row r="1876" spans="49:49" x14ac:dyDescent="0.25">
      <c r="AW1876" s="33">
        <v>0</v>
      </c>
    </row>
    <row r="1877" spans="49:49" x14ac:dyDescent="0.25">
      <c r="AW1877" s="33">
        <v>0</v>
      </c>
    </row>
    <row r="1878" spans="49:49" x14ac:dyDescent="0.25">
      <c r="AW1878" s="33">
        <v>0</v>
      </c>
    </row>
    <row r="1879" spans="49:49" x14ac:dyDescent="0.25">
      <c r="AW1879" s="33">
        <v>0</v>
      </c>
    </row>
    <row r="1880" spans="49:49" x14ac:dyDescent="0.25">
      <c r="AW1880" s="33">
        <v>0</v>
      </c>
    </row>
    <row r="1881" spans="49:49" x14ac:dyDescent="0.25">
      <c r="AW1881" s="33">
        <v>0</v>
      </c>
    </row>
    <row r="1882" spans="49:49" x14ac:dyDescent="0.25">
      <c r="AW1882" s="33">
        <v>0</v>
      </c>
    </row>
    <row r="1883" spans="49:49" x14ac:dyDescent="0.25">
      <c r="AW1883" s="33">
        <v>0</v>
      </c>
    </row>
    <row r="1884" spans="49:49" x14ac:dyDescent="0.25">
      <c r="AW1884" s="33">
        <v>0</v>
      </c>
    </row>
    <row r="1885" spans="49:49" x14ac:dyDescent="0.25">
      <c r="AW1885" s="33">
        <v>0</v>
      </c>
    </row>
    <row r="1886" spans="49:49" x14ac:dyDescent="0.25">
      <c r="AW1886" s="33">
        <v>0</v>
      </c>
    </row>
    <row r="1887" spans="49:49" x14ac:dyDescent="0.25">
      <c r="AW1887" s="33">
        <v>0</v>
      </c>
    </row>
    <row r="1888" spans="49:49" x14ac:dyDescent="0.25">
      <c r="AW1888" s="33">
        <v>0</v>
      </c>
    </row>
    <row r="1889" spans="49:49" x14ac:dyDescent="0.25">
      <c r="AW1889" s="33">
        <v>0</v>
      </c>
    </row>
    <row r="1890" spans="49:49" x14ac:dyDescent="0.25">
      <c r="AW1890" s="33">
        <v>0</v>
      </c>
    </row>
    <row r="1891" spans="49:49" x14ac:dyDescent="0.25">
      <c r="AW1891" s="33">
        <v>0</v>
      </c>
    </row>
    <row r="1892" spans="49:49" x14ac:dyDescent="0.25">
      <c r="AW1892" s="33">
        <v>0</v>
      </c>
    </row>
    <row r="1893" spans="49:49" x14ac:dyDescent="0.25">
      <c r="AW1893" s="33">
        <v>0</v>
      </c>
    </row>
    <row r="1894" spans="49:49" x14ac:dyDescent="0.25">
      <c r="AW1894" s="33">
        <v>0</v>
      </c>
    </row>
    <row r="1895" spans="49:49" x14ac:dyDescent="0.25">
      <c r="AW1895" s="33">
        <v>0</v>
      </c>
    </row>
    <row r="1896" spans="49:49" x14ac:dyDescent="0.25">
      <c r="AW1896" s="33">
        <v>0</v>
      </c>
    </row>
    <row r="1897" spans="49:49" x14ac:dyDescent="0.25">
      <c r="AW1897" s="33">
        <v>0</v>
      </c>
    </row>
    <row r="1898" spans="49:49" x14ac:dyDescent="0.25">
      <c r="AW1898" s="33">
        <v>0</v>
      </c>
    </row>
    <row r="1899" spans="49:49" x14ac:dyDescent="0.25">
      <c r="AW1899" s="33">
        <v>0</v>
      </c>
    </row>
    <row r="1900" spans="49:49" x14ac:dyDescent="0.25">
      <c r="AW1900" s="33">
        <v>0</v>
      </c>
    </row>
    <row r="1901" spans="49:49" x14ac:dyDescent="0.25">
      <c r="AW1901" s="33">
        <v>0</v>
      </c>
    </row>
    <row r="1902" spans="49:49" x14ac:dyDescent="0.25">
      <c r="AW1902" s="33">
        <v>0</v>
      </c>
    </row>
    <row r="1903" spans="49:49" x14ac:dyDescent="0.25">
      <c r="AW1903" s="33">
        <v>0</v>
      </c>
    </row>
    <row r="1904" spans="49:49" x14ac:dyDescent="0.25">
      <c r="AW1904" s="33">
        <v>0</v>
      </c>
    </row>
    <row r="1905" spans="49:49" x14ac:dyDescent="0.25">
      <c r="AW1905" s="33">
        <v>0</v>
      </c>
    </row>
    <row r="1906" spans="49:49" x14ac:dyDescent="0.25">
      <c r="AW1906" s="33">
        <v>0</v>
      </c>
    </row>
    <row r="1907" spans="49:49" x14ac:dyDescent="0.25">
      <c r="AW1907" s="33">
        <v>0</v>
      </c>
    </row>
    <row r="1908" spans="49:49" x14ac:dyDescent="0.25">
      <c r="AW1908" s="33">
        <v>0</v>
      </c>
    </row>
    <row r="1909" spans="49:49" x14ac:dyDescent="0.25">
      <c r="AW1909" s="33">
        <v>0</v>
      </c>
    </row>
    <row r="1910" spans="49:49" x14ac:dyDescent="0.25">
      <c r="AW1910" s="33">
        <v>0</v>
      </c>
    </row>
    <row r="1911" spans="49:49" x14ac:dyDescent="0.25">
      <c r="AW1911" s="33">
        <v>0</v>
      </c>
    </row>
    <row r="1912" spans="49:49" x14ac:dyDescent="0.25">
      <c r="AW1912" s="33">
        <v>0</v>
      </c>
    </row>
    <row r="1913" spans="49:49" x14ac:dyDescent="0.25">
      <c r="AW1913" s="33">
        <v>0</v>
      </c>
    </row>
    <row r="1914" spans="49:49" x14ac:dyDescent="0.25">
      <c r="AW1914" s="33">
        <v>0</v>
      </c>
    </row>
    <row r="1915" spans="49:49" x14ac:dyDescent="0.25">
      <c r="AW1915" s="33">
        <v>0</v>
      </c>
    </row>
    <row r="1916" spans="49:49" x14ac:dyDescent="0.25">
      <c r="AW1916" s="33">
        <v>0</v>
      </c>
    </row>
    <row r="1917" spans="49:49" x14ac:dyDescent="0.25">
      <c r="AW1917" s="33">
        <v>0</v>
      </c>
    </row>
    <row r="1918" spans="49:49" x14ac:dyDescent="0.25">
      <c r="AW1918" s="33">
        <v>0</v>
      </c>
    </row>
    <row r="1919" spans="49:49" x14ac:dyDescent="0.25">
      <c r="AW1919" s="33">
        <v>0</v>
      </c>
    </row>
    <row r="1920" spans="49:49" x14ac:dyDescent="0.25">
      <c r="AW1920" s="33">
        <v>0</v>
      </c>
    </row>
    <row r="1921" spans="49:49" x14ac:dyDescent="0.25">
      <c r="AW1921" s="33">
        <v>0</v>
      </c>
    </row>
    <row r="1922" spans="49:49" x14ac:dyDescent="0.25">
      <c r="AW1922" s="33">
        <v>0</v>
      </c>
    </row>
    <row r="1923" spans="49:49" x14ac:dyDescent="0.25">
      <c r="AW1923" s="33">
        <v>0</v>
      </c>
    </row>
    <row r="1924" spans="49:49" x14ac:dyDescent="0.25">
      <c r="AW1924" s="33">
        <v>0</v>
      </c>
    </row>
    <row r="1925" spans="49:49" x14ac:dyDescent="0.25">
      <c r="AW1925" s="33">
        <v>0</v>
      </c>
    </row>
    <row r="1926" spans="49:49" x14ac:dyDescent="0.25">
      <c r="AW1926" s="33">
        <v>0</v>
      </c>
    </row>
    <row r="1927" spans="49:49" x14ac:dyDescent="0.25">
      <c r="AW1927" s="33">
        <v>0</v>
      </c>
    </row>
    <row r="1928" spans="49:49" x14ac:dyDescent="0.25">
      <c r="AW1928" s="33">
        <v>0</v>
      </c>
    </row>
    <row r="1929" spans="49:49" x14ac:dyDescent="0.25">
      <c r="AW1929" s="33">
        <v>0</v>
      </c>
    </row>
    <row r="1930" spans="49:49" x14ac:dyDescent="0.25">
      <c r="AW1930" s="33">
        <v>0</v>
      </c>
    </row>
    <row r="1931" spans="49:49" x14ac:dyDescent="0.25">
      <c r="AW1931" s="33">
        <v>0</v>
      </c>
    </row>
    <row r="1932" spans="49:49" x14ac:dyDescent="0.25">
      <c r="AW1932" s="33">
        <v>0</v>
      </c>
    </row>
    <row r="1933" spans="49:49" x14ac:dyDescent="0.25">
      <c r="AW1933" s="33">
        <v>0</v>
      </c>
    </row>
    <row r="1934" spans="49:49" x14ac:dyDescent="0.25">
      <c r="AW1934" s="33">
        <v>0</v>
      </c>
    </row>
    <row r="1935" spans="49:49" x14ac:dyDescent="0.25">
      <c r="AW1935" s="33">
        <v>0</v>
      </c>
    </row>
    <row r="1936" spans="49:49" x14ac:dyDescent="0.25">
      <c r="AW1936" s="33">
        <v>0</v>
      </c>
    </row>
    <row r="1937" spans="49:49" x14ac:dyDescent="0.25">
      <c r="AW1937" s="33">
        <v>0</v>
      </c>
    </row>
    <row r="1938" spans="49:49" x14ac:dyDescent="0.25">
      <c r="AW1938" s="33">
        <v>0</v>
      </c>
    </row>
    <row r="1939" spans="49:49" x14ac:dyDescent="0.25">
      <c r="AW1939" s="33">
        <v>0</v>
      </c>
    </row>
    <row r="1940" spans="49:49" x14ac:dyDescent="0.25">
      <c r="AW1940" s="33">
        <v>0</v>
      </c>
    </row>
    <row r="1941" spans="49:49" x14ac:dyDescent="0.25">
      <c r="AW1941" s="33">
        <v>0</v>
      </c>
    </row>
    <row r="1942" spans="49:49" x14ac:dyDescent="0.25">
      <c r="AW1942" s="33">
        <v>0</v>
      </c>
    </row>
    <row r="1943" spans="49:49" x14ac:dyDescent="0.25">
      <c r="AW1943" s="33">
        <v>0</v>
      </c>
    </row>
    <row r="1944" spans="49:49" x14ac:dyDescent="0.25">
      <c r="AW1944" s="33">
        <v>0</v>
      </c>
    </row>
    <row r="1945" spans="49:49" x14ac:dyDescent="0.25">
      <c r="AW1945" s="33">
        <v>0</v>
      </c>
    </row>
    <row r="1946" spans="49:49" x14ac:dyDescent="0.25">
      <c r="AW1946" s="33">
        <v>0</v>
      </c>
    </row>
    <row r="1947" spans="49:49" x14ac:dyDescent="0.25">
      <c r="AW1947" s="33">
        <v>0</v>
      </c>
    </row>
    <row r="1948" spans="49:49" x14ac:dyDescent="0.25">
      <c r="AW1948" s="33">
        <v>0</v>
      </c>
    </row>
    <row r="1949" spans="49:49" x14ac:dyDescent="0.25">
      <c r="AW1949" s="33">
        <v>0</v>
      </c>
    </row>
    <row r="1950" spans="49:49" x14ac:dyDescent="0.25">
      <c r="AW1950" s="33">
        <v>0</v>
      </c>
    </row>
    <row r="1951" spans="49:49" x14ac:dyDescent="0.25">
      <c r="AW1951" s="33">
        <v>0</v>
      </c>
    </row>
    <row r="1952" spans="49:49" x14ac:dyDescent="0.25">
      <c r="AW1952" s="33">
        <v>0</v>
      </c>
    </row>
    <row r="1953" spans="49:49" x14ac:dyDescent="0.25">
      <c r="AW1953" s="33">
        <v>0</v>
      </c>
    </row>
    <row r="1954" spans="49:49" x14ac:dyDescent="0.25">
      <c r="AW1954" s="33">
        <v>0</v>
      </c>
    </row>
    <row r="1955" spans="49:49" x14ac:dyDescent="0.25">
      <c r="AW1955" s="33">
        <v>0</v>
      </c>
    </row>
    <row r="1956" spans="49:49" x14ac:dyDescent="0.25">
      <c r="AW1956" s="33">
        <v>0</v>
      </c>
    </row>
    <row r="1957" spans="49:49" x14ac:dyDescent="0.25">
      <c r="AW1957" s="33">
        <v>0</v>
      </c>
    </row>
    <row r="1958" spans="49:49" x14ac:dyDescent="0.25">
      <c r="AW1958" s="33">
        <v>0</v>
      </c>
    </row>
    <row r="1959" spans="49:49" x14ac:dyDescent="0.25">
      <c r="AW1959" s="33">
        <v>0</v>
      </c>
    </row>
    <row r="1960" spans="49:49" x14ac:dyDescent="0.25">
      <c r="AW1960" s="33">
        <v>0</v>
      </c>
    </row>
    <row r="1961" spans="49:49" x14ac:dyDescent="0.25">
      <c r="AW1961" s="33">
        <v>0</v>
      </c>
    </row>
    <row r="1962" spans="49:49" x14ac:dyDescent="0.25">
      <c r="AW1962" s="33">
        <v>0</v>
      </c>
    </row>
    <row r="1963" spans="49:49" x14ac:dyDescent="0.25">
      <c r="AW1963" s="33">
        <v>0</v>
      </c>
    </row>
    <row r="1964" spans="49:49" x14ac:dyDescent="0.25">
      <c r="AW1964" s="33">
        <v>0</v>
      </c>
    </row>
    <row r="1965" spans="49:49" x14ac:dyDescent="0.25">
      <c r="AW1965" s="33">
        <v>0</v>
      </c>
    </row>
    <row r="1966" spans="49:49" x14ac:dyDescent="0.25">
      <c r="AW1966" s="33">
        <v>0</v>
      </c>
    </row>
    <row r="1967" spans="49:49" x14ac:dyDescent="0.25">
      <c r="AW1967" s="33">
        <v>0</v>
      </c>
    </row>
    <row r="1968" spans="49:49" x14ac:dyDescent="0.25">
      <c r="AW1968" s="33">
        <v>0</v>
      </c>
    </row>
    <row r="1969" spans="49:49" x14ac:dyDescent="0.25">
      <c r="AW1969" s="33">
        <v>0</v>
      </c>
    </row>
    <row r="1970" spans="49:49" x14ac:dyDescent="0.25">
      <c r="AW1970" s="33">
        <v>0</v>
      </c>
    </row>
    <row r="1971" spans="49:49" x14ac:dyDescent="0.25">
      <c r="AW1971" s="33">
        <v>0</v>
      </c>
    </row>
    <row r="1972" spans="49:49" x14ac:dyDescent="0.25">
      <c r="AW1972" s="33">
        <v>0</v>
      </c>
    </row>
    <row r="1973" spans="49:49" x14ac:dyDescent="0.25">
      <c r="AW1973" s="33">
        <v>0</v>
      </c>
    </row>
    <row r="1974" spans="49:49" x14ac:dyDescent="0.25">
      <c r="AW1974" s="33">
        <v>0</v>
      </c>
    </row>
    <row r="1975" spans="49:49" x14ac:dyDescent="0.25">
      <c r="AW1975" s="33">
        <v>0</v>
      </c>
    </row>
    <row r="1976" spans="49:49" x14ac:dyDescent="0.25">
      <c r="AW1976" s="33">
        <v>0</v>
      </c>
    </row>
    <row r="1977" spans="49:49" x14ac:dyDescent="0.25">
      <c r="AW1977" s="33">
        <v>0</v>
      </c>
    </row>
    <row r="1978" spans="49:49" x14ac:dyDescent="0.25">
      <c r="AW1978" s="33">
        <v>0</v>
      </c>
    </row>
    <row r="1979" spans="49:49" x14ac:dyDescent="0.25">
      <c r="AW1979" s="33">
        <v>0</v>
      </c>
    </row>
    <row r="1980" spans="49:49" x14ac:dyDescent="0.25">
      <c r="AW1980" s="33">
        <v>0</v>
      </c>
    </row>
    <row r="1981" spans="49:49" x14ac:dyDescent="0.25">
      <c r="AW1981" s="33">
        <v>0</v>
      </c>
    </row>
    <row r="1982" spans="49:49" x14ac:dyDescent="0.25">
      <c r="AW1982" s="33">
        <v>0</v>
      </c>
    </row>
    <row r="1983" spans="49:49" x14ac:dyDescent="0.25">
      <c r="AW1983" s="33">
        <v>0</v>
      </c>
    </row>
    <row r="1984" spans="49:49" x14ac:dyDescent="0.25">
      <c r="AW1984" s="33">
        <v>0</v>
      </c>
    </row>
    <row r="1985" spans="49:49" x14ac:dyDescent="0.25">
      <c r="AW1985" s="33">
        <v>0</v>
      </c>
    </row>
    <row r="1986" spans="49:49" x14ac:dyDescent="0.25">
      <c r="AW1986" s="33">
        <v>0</v>
      </c>
    </row>
    <row r="1987" spans="49:49" x14ac:dyDescent="0.25">
      <c r="AW1987" s="33">
        <v>0</v>
      </c>
    </row>
    <row r="1988" spans="49:49" x14ac:dyDescent="0.25">
      <c r="AW1988" s="33">
        <v>0</v>
      </c>
    </row>
    <row r="1989" spans="49:49" x14ac:dyDescent="0.25">
      <c r="AW1989" s="33">
        <v>0</v>
      </c>
    </row>
    <row r="1990" spans="49:49" x14ac:dyDescent="0.25">
      <c r="AW1990" s="33">
        <v>0</v>
      </c>
    </row>
    <row r="1991" spans="49:49" x14ac:dyDescent="0.25">
      <c r="AW1991" s="33">
        <v>0</v>
      </c>
    </row>
    <row r="1992" spans="49:49" x14ac:dyDescent="0.25">
      <c r="AW1992" s="33">
        <v>0</v>
      </c>
    </row>
    <row r="1993" spans="49:49" x14ac:dyDescent="0.25">
      <c r="AW1993" s="33">
        <v>0</v>
      </c>
    </row>
    <row r="1994" spans="49:49" x14ac:dyDescent="0.25">
      <c r="AW1994" s="33">
        <v>0</v>
      </c>
    </row>
    <row r="1995" spans="49:49" x14ac:dyDescent="0.25">
      <c r="AW1995" s="33">
        <v>0</v>
      </c>
    </row>
    <row r="1996" spans="49:49" x14ac:dyDescent="0.25">
      <c r="AW1996" s="33">
        <v>0</v>
      </c>
    </row>
    <row r="1997" spans="49:49" x14ac:dyDescent="0.25">
      <c r="AW1997" s="33">
        <v>0</v>
      </c>
    </row>
    <row r="1998" spans="49:49" x14ac:dyDescent="0.25">
      <c r="AW1998" s="33">
        <v>0</v>
      </c>
    </row>
    <row r="1999" spans="49:49" x14ac:dyDescent="0.25">
      <c r="AW1999" s="33">
        <v>0</v>
      </c>
    </row>
    <row r="2000" spans="49:49" x14ac:dyDescent="0.25">
      <c r="AW2000" s="33">
        <v>0</v>
      </c>
    </row>
    <row r="2001" spans="49:49" x14ac:dyDescent="0.25">
      <c r="AW2001" s="33">
        <v>0</v>
      </c>
    </row>
    <row r="2002" spans="49:49" x14ac:dyDescent="0.25">
      <c r="AW2002" s="33">
        <v>0</v>
      </c>
    </row>
    <row r="2003" spans="49:49" x14ac:dyDescent="0.25">
      <c r="AW2003" s="33">
        <v>0</v>
      </c>
    </row>
    <row r="2004" spans="49:49" x14ac:dyDescent="0.25">
      <c r="AW2004" s="33">
        <v>0</v>
      </c>
    </row>
    <row r="2005" spans="49:49" x14ac:dyDescent="0.25">
      <c r="AW2005" s="33">
        <v>0</v>
      </c>
    </row>
    <row r="2006" spans="49:49" x14ac:dyDescent="0.25">
      <c r="AW2006" s="33">
        <v>0</v>
      </c>
    </row>
    <row r="2007" spans="49:49" x14ac:dyDescent="0.25">
      <c r="AW2007" s="33">
        <v>0</v>
      </c>
    </row>
    <row r="2008" spans="49:49" x14ac:dyDescent="0.25">
      <c r="AW2008" s="33">
        <v>0</v>
      </c>
    </row>
    <row r="2009" spans="49:49" x14ac:dyDescent="0.25">
      <c r="AW2009" s="33">
        <v>0</v>
      </c>
    </row>
    <row r="2010" spans="49:49" x14ac:dyDescent="0.25">
      <c r="AW2010" s="33">
        <v>0</v>
      </c>
    </row>
    <row r="2011" spans="49:49" x14ac:dyDescent="0.25">
      <c r="AW2011" s="33">
        <v>0</v>
      </c>
    </row>
    <row r="2012" spans="49:49" x14ac:dyDescent="0.25">
      <c r="AW2012" s="33">
        <v>0</v>
      </c>
    </row>
    <row r="2013" spans="49:49" x14ac:dyDescent="0.25">
      <c r="AW2013" s="33">
        <v>0</v>
      </c>
    </row>
    <row r="2014" spans="49:49" x14ac:dyDescent="0.25">
      <c r="AW2014" s="33">
        <v>0</v>
      </c>
    </row>
    <row r="2015" spans="49:49" x14ac:dyDescent="0.25">
      <c r="AW2015" s="33">
        <v>0</v>
      </c>
    </row>
    <row r="2016" spans="49:49" x14ac:dyDescent="0.25">
      <c r="AW2016" s="33">
        <v>0</v>
      </c>
    </row>
    <row r="2017" spans="49:49" x14ac:dyDescent="0.25">
      <c r="AW2017" s="33">
        <v>0</v>
      </c>
    </row>
    <row r="2018" spans="49:49" x14ac:dyDescent="0.25">
      <c r="AW2018" s="33">
        <v>0</v>
      </c>
    </row>
    <row r="2019" spans="49:49" x14ac:dyDescent="0.25">
      <c r="AW2019" s="33">
        <v>0</v>
      </c>
    </row>
    <row r="2020" spans="49:49" x14ac:dyDescent="0.25">
      <c r="AW2020" s="33">
        <v>0</v>
      </c>
    </row>
    <row r="2021" spans="49:49" x14ac:dyDescent="0.25">
      <c r="AW2021" s="33">
        <v>0</v>
      </c>
    </row>
    <row r="2022" spans="49:49" x14ac:dyDescent="0.25">
      <c r="AW2022" s="33">
        <v>0</v>
      </c>
    </row>
    <row r="2023" spans="49:49" x14ac:dyDescent="0.25">
      <c r="AW2023" s="33">
        <v>0</v>
      </c>
    </row>
    <row r="2024" spans="49:49" x14ac:dyDescent="0.25">
      <c r="AW2024" s="33">
        <v>0</v>
      </c>
    </row>
    <row r="2025" spans="49:49" x14ac:dyDescent="0.25">
      <c r="AW2025" s="33">
        <v>0</v>
      </c>
    </row>
    <row r="2026" spans="49:49" x14ac:dyDescent="0.25">
      <c r="AW2026" s="33">
        <v>0</v>
      </c>
    </row>
    <row r="2027" spans="49:49" x14ac:dyDescent="0.25">
      <c r="AW2027" s="33">
        <v>0</v>
      </c>
    </row>
    <row r="2028" spans="49:49" x14ac:dyDescent="0.25">
      <c r="AW2028" s="33">
        <v>0</v>
      </c>
    </row>
    <row r="2029" spans="49:49" x14ac:dyDescent="0.25">
      <c r="AW2029" s="33">
        <v>0</v>
      </c>
    </row>
    <row r="2030" spans="49:49" x14ac:dyDescent="0.25">
      <c r="AW2030" s="33">
        <v>0</v>
      </c>
    </row>
    <row r="2031" spans="49:49" x14ac:dyDescent="0.25">
      <c r="AW2031" s="33">
        <v>0</v>
      </c>
    </row>
    <row r="2032" spans="49:49" x14ac:dyDescent="0.25">
      <c r="AW2032" s="33">
        <v>0</v>
      </c>
    </row>
    <row r="2033" spans="49:49" x14ac:dyDescent="0.25">
      <c r="AW2033" s="33">
        <v>0</v>
      </c>
    </row>
    <row r="2034" spans="49:49" x14ac:dyDescent="0.25">
      <c r="AW2034" s="33">
        <v>0</v>
      </c>
    </row>
    <row r="2035" spans="49:49" x14ac:dyDescent="0.25">
      <c r="AW2035" s="33">
        <v>0</v>
      </c>
    </row>
    <row r="2036" spans="49:49" x14ac:dyDescent="0.25">
      <c r="AW2036" s="33">
        <v>0</v>
      </c>
    </row>
    <row r="2037" spans="49:49" x14ac:dyDescent="0.25">
      <c r="AW2037" s="33">
        <v>0</v>
      </c>
    </row>
    <row r="2038" spans="49:49" x14ac:dyDescent="0.25">
      <c r="AW2038" s="33">
        <v>0</v>
      </c>
    </row>
    <row r="2039" spans="49:49" x14ac:dyDescent="0.25">
      <c r="AW2039" s="33">
        <v>0</v>
      </c>
    </row>
    <row r="2040" spans="49:49" x14ac:dyDescent="0.25">
      <c r="AW2040" s="33">
        <v>0</v>
      </c>
    </row>
    <row r="2041" spans="49:49" x14ac:dyDescent="0.25">
      <c r="AW2041" s="33">
        <v>0</v>
      </c>
    </row>
    <row r="2042" spans="49:49" x14ac:dyDescent="0.25">
      <c r="AW2042" s="33">
        <v>0</v>
      </c>
    </row>
    <row r="2043" spans="49:49" x14ac:dyDescent="0.25">
      <c r="AW2043" s="33">
        <v>0</v>
      </c>
    </row>
    <row r="2044" spans="49:49" x14ac:dyDescent="0.25">
      <c r="AW2044" s="33">
        <v>0</v>
      </c>
    </row>
    <row r="2045" spans="49:49" x14ac:dyDescent="0.25">
      <c r="AW2045" s="33">
        <v>0</v>
      </c>
    </row>
    <row r="2046" spans="49:49" x14ac:dyDescent="0.25">
      <c r="AW2046" s="33">
        <v>0</v>
      </c>
    </row>
    <row r="2047" spans="49:49" x14ac:dyDescent="0.25">
      <c r="AW2047" s="33">
        <v>0</v>
      </c>
    </row>
    <row r="2048" spans="49:49" x14ac:dyDescent="0.25">
      <c r="AW2048" s="33">
        <v>0</v>
      </c>
    </row>
    <row r="2049" spans="49:49" x14ac:dyDescent="0.25">
      <c r="AW2049" s="33">
        <v>0</v>
      </c>
    </row>
    <row r="2050" spans="49:49" x14ac:dyDescent="0.25">
      <c r="AW2050" s="33">
        <v>0</v>
      </c>
    </row>
    <row r="2051" spans="49:49" x14ac:dyDescent="0.25">
      <c r="AW2051" s="33">
        <v>0</v>
      </c>
    </row>
    <row r="2052" spans="49:49" x14ac:dyDescent="0.25">
      <c r="AW2052" s="33">
        <v>0</v>
      </c>
    </row>
    <row r="2053" spans="49:49" x14ac:dyDescent="0.25">
      <c r="AW2053" s="33">
        <v>0</v>
      </c>
    </row>
    <row r="2054" spans="49:49" x14ac:dyDescent="0.25">
      <c r="AW2054" s="33">
        <v>0</v>
      </c>
    </row>
    <row r="2055" spans="49:49" x14ac:dyDescent="0.25">
      <c r="AW2055" s="33">
        <v>0</v>
      </c>
    </row>
    <row r="2056" spans="49:49" x14ac:dyDescent="0.25">
      <c r="AW2056" s="33">
        <v>0</v>
      </c>
    </row>
    <row r="2057" spans="49:49" x14ac:dyDescent="0.25">
      <c r="AW2057" s="33">
        <v>0</v>
      </c>
    </row>
    <row r="2058" spans="49:49" x14ac:dyDescent="0.25">
      <c r="AW2058" s="33">
        <v>0</v>
      </c>
    </row>
    <row r="2059" spans="49:49" x14ac:dyDescent="0.25">
      <c r="AW2059" s="33">
        <v>0</v>
      </c>
    </row>
    <row r="2060" spans="49:49" x14ac:dyDescent="0.25">
      <c r="AW2060" s="33">
        <v>0</v>
      </c>
    </row>
    <row r="2061" spans="49:49" x14ac:dyDescent="0.25">
      <c r="AW2061" s="33">
        <v>0</v>
      </c>
    </row>
    <row r="2062" spans="49:49" x14ac:dyDescent="0.25">
      <c r="AW2062" s="33">
        <v>0</v>
      </c>
    </row>
    <row r="2063" spans="49:49" x14ac:dyDescent="0.25">
      <c r="AW2063" s="33">
        <v>0</v>
      </c>
    </row>
    <row r="2064" spans="49:49" x14ac:dyDescent="0.25">
      <c r="AW2064" s="33">
        <v>0</v>
      </c>
    </row>
    <row r="2065" spans="49:49" x14ac:dyDescent="0.25">
      <c r="AW2065" s="33">
        <v>0</v>
      </c>
    </row>
    <row r="2066" spans="49:49" x14ac:dyDescent="0.25">
      <c r="AW2066" s="33">
        <v>0</v>
      </c>
    </row>
    <row r="2067" spans="49:49" x14ac:dyDescent="0.25">
      <c r="AW2067" s="33">
        <v>0</v>
      </c>
    </row>
    <row r="2068" spans="49:49" x14ac:dyDescent="0.25">
      <c r="AW2068" s="33">
        <v>0</v>
      </c>
    </row>
    <row r="2069" spans="49:49" x14ac:dyDescent="0.25">
      <c r="AW2069" s="33">
        <v>0</v>
      </c>
    </row>
    <row r="2070" spans="49:49" x14ac:dyDescent="0.25">
      <c r="AW2070" s="33">
        <v>0</v>
      </c>
    </row>
    <row r="2071" spans="49:49" x14ac:dyDescent="0.25">
      <c r="AW2071" s="33">
        <v>0</v>
      </c>
    </row>
    <row r="2072" spans="49:49" x14ac:dyDescent="0.25">
      <c r="AW2072" s="33">
        <v>0</v>
      </c>
    </row>
    <row r="2073" spans="49:49" x14ac:dyDescent="0.25">
      <c r="AW2073" s="33">
        <v>0</v>
      </c>
    </row>
    <row r="2074" spans="49:49" x14ac:dyDescent="0.25">
      <c r="AW2074" s="33">
        <v>0</v>
      </c>
    </row>
    <row r="2075" spans="49:49" x14ac:dyDescent="0.25">
      <c r="AW2075" s="33">
        <v>0</v>
      </c>
    </row>
    <row r="2076" spans="49:49" x14ac:dyDescent="0.25">
      <c r="AW2076" s="33">
        <v>0</v>
      </c>
    </row>
    <row r="2077" spans="49:49" x14ac:dyDescent="0.25">
      <c r="AW2077" s="33">
        <v>0</v>
      </c>
    </row>
    <row r="2078" spans="49:49" x14ac:dyDescent="0.25">
      <c r="AW2078" s="33">
        <v>0</v>
      </c>
    </row>
    <row r="2079" spans="49:49" x14ac:dyDescent="0.25">
      <c r="AW2079" s="33">
        <v>0</v>
      </c>
    </row>
    <row r="2080" spans="49:49" x14ac:dyDescent="0.25">
      <c r="AW2080" s="33">
        <v>0</v>
      </c>
    </row>
    <row r="2081" spans="49:49" x14ac:dyDescent="0.25">
      <c r="AW2081" s="33">
        <v>0</v>
      </c>
    </row>
    <row r="2082" spans="49:49" x14ac:dyDescent="0.25">
      <c r="AW2082" s="33">
        <v>0</v>
      </c>
    </row>
    <row r="2083" spans="49:49" x14ac:dyDescent="0.25">
      <c r="AW2083" s="33">
        <v>0</v>
      </c>
    </row>
    <row r="2084" spans="49:49" x14ac:dyDescent="0.25">
      <c r="AW2084" s="33">
        <v>0</v>
      </c>
    </row>
    <row r="2085" spans="49:49" x14ac:dyDescent="0.25">
      <c r="AW2085" s="33">
        <v>0</v>
      </c>
    </row>
    <row r="2086" spans="49:49" x14ac:dyDescent="0.25">
      <c r="AW2086" s="33">
        <v>0</v>
      </c>
    </row>
    <row r="2087" spans="49:49" x14ac:dyDescent="0.25">
      <c r="AW2087" s="33">
        <v>0</v>
      </c>
    </row>
    <row r="2088" spans="49:49" x14ac:dyDescent="0.25">
      <c r="AW2088" s="33">
        <v>0</v>
      </c>
    </row>
    <row r="2089" spans="49:49" x14ac:dyDescent="0.25">
      <c r="AW2089" s="33">
        <v>0</v>
      </c>
    </row>
    <row r="2090" spans="49:49" x14ac:dyDescent="0.25">
      <c r="AW2090" s="33">
        <v>0</v>
      </c>
    </row>
    <row r="2091" spans="49:49" x14ac:dyDescent="0.25">
      <c r="AW2091" s="33">
        <v>0</v>
      </c>
    </row>
    <row r="2092" spans="49:49" x14ac:dyDescent="0.25">
      <c r="AW2092" s="33">
        <v>0</v>
      </c>
    </row>
    <row r="2093" spans="49:49" x14ac:dyDescent="0.25">
      <c r="AW2093" s="33">
        <v>0</v>
      </c>
    </row>
    <row r="2094" spans="49:49" x14ac:dyDescent="0.25">
      <c r="AW2094" s="33">
        <v>0</v>
      </c>
    </row>
    <row r="2095" spans="49:49" x14ac:dyDescent="0.25">
      <c r="AW2095" s="33">
        <v>0</v>
      </c>
    </row>
    <row r="2096" spans="49:49" x14ac:dyDescent="0.25">
      <c r="AW2096" s="33">
        <v>0</v>
      </c>
    </row>
    <row r="2097" spans="49:49" x14ac:dyDescent="0.25">
      <c r="AW2097" s="33">
        <v>0</v>
      </c>
    </row>
    <row r="2098" spans="49:49" x14ac:dyDescent="0.25">
      <c r="AW2098" s="33">
        <v>0</v>
      </c>
    </row>
    <row r="2099" spans="49:49" x14ac:dyDescent="0.25">
      <c r="AW2099" s="33">
        <v>0</v>
      </c>
    </row>
    <row r="2100" spans="49:49" x14ac:dyDescent="0.25">
      <c r="AW2100" s="33">
        <v>0</v>
      </c>
    </row>
    <row r="2101" spans="49:49" x14ac:dyDescent="0.25">
      <c r="AW2101" s="33">
        <v>0</v>
      </c>
    </row>
    <row r="2102" spans="49:49" x14ac:dyDescent="0.25">
      <c r="AW2102" s="33">
        <v>0</v>
      </c>
    </row>
    <row r="2103" spans="49:49" x14ac:dyDescent="0.25">
      <c r="AW2103" s="33">
        <v>0</v>
      </c>
    </row>
    <row r="2104" spans="49:49" x14ac:dyDescent="0.25">
      <c r="AW2104" s="33">
        <v>0</v>
      </c>
    </row>
    <row r="2105" spans="49:49" x14ac:dyDescent="0.25">
      <c r="AW2105" s="33">
        <v>0</v>
      </c>
    </row>
    <row r="2106" spans="49:49" x14ac:dyDescent="0.25">
      <c r="AW2106" s="33">
        <v>0</v>
      </c>
    </row>
    <row r="2107" spans="49:49" x14ac:dyDescent="0.25">
      <c r="AW2107" s="33">
        <v>0</v>
      </c>
    </row>
    <row r="2108" spans="49:49" x14ac:dyDescent="0.25">
      <c r="AW2108" s="33">
        <v>0</v>
      </c>
    </row>
    <row r="2109" spans="49:49" x14ac:dyDescent="0.25">
      <c r="AW2109" s="33">
        <v>0</v>
      </c>
    </row>
    <row r="2110" spans="49:49" x14ac:dyDescent="0.25">
      <c r="AW2110" s="33">
        <v>0</v>
      </c>
    </row>
    <row r="2111" spans="49:49" x14ac:dyDescent="0.25">
      <c r="AW2111" s="33">
        <v>0</v>
      </c>
    </row>
    <row r="2112" spans="49:49" x14ac:dyDescent="0.25">
      <c r="AW2112" s="33">
        <v>0</v>
      </c>
    </row>
    <row r="2113" spans="49:49" x14ac:dyDescent="0.25">
      <c r="AW2113" s="33">
        <v>0</v>
      </c>
    </row>
    <row r="2114" spans="49:49" x14ac:dyDescent="0.25">
      <c r="AW2114" s="33">
        <v>0</v>
      </c>
    </row>
    <row r="2115" spans="49:49" x14ac:dyDescent="0.25">
      <c r="AW2115" s="33">
        <v>0</v>
      </c>
    </row>
    <row r="2116" spans="49:49" x14ac:dyDescent="0.25">
      <c r="AW2116" s="33">
        <v>0</v>
      </c>
    </row>
    <row r="2117" spans="49:49" x14ac:dyDescent="0.25">
      <c r="AW2117" s="33">
        <v>0</v>
      </c>
    </row>
    <row r="2118" spans="49:49" x14ac:dyDescent="0.25">
      <c r="AW2118" s="33">
        <v>0</v>
      </c>
    </row>
    <row r="2119" spans="49:49" x14ac:dyDescent="0.25">
      <c r="AW2119" s="33">
        <v>0</v>
      </c>
    </row>
    <row r="2120" spans="49:49" x14ac:dyDescent="0.25">
      <c r="AW2120" s="33">
        <v>0</v>
      </c>
    </row>
    <row r="2121" spans="49:49" x14ac:dyDescent="0.25">
      <c r="AW2121" s="33">
        <v>0</v>
      </c>
    </row>
    <row r="2122" spans="49:49" x14ac:dyDescent="0.25">
      <c r="AW2122" s="33">
        <v>0</v>
      </c>
    </row>
    <row r="2123" spans="49:49" x14ac:dyDescent="0.25">
      <c r="AW2123" s="33">
        <v>0</v>
      </c>
    </row>
    <row r="2124" spans="49:49" x14ac:dyDescent="0.25">
      <c r="AW2124" s="33">
        <v>0</v>
      </c>
    </row>
    <row r="2125" spans="49:49" x14ac:dyDescent="0.25">
      <c r="AW2125" s="33">
        <v>0</v>
      </c>
    </row>
    <row r="2126" spans="49:49" x14ac:dyDescent="0.25">
      <c r="AW2126" s="33">
        <v>0</v>
      </c>
    </row>
    <row r="2127" spans="49:49" x14ac:dyDescent="0.25">
      <c r="AW2127" s="33">
        <v>0</v>
      </c>
    </row>
    <row r="2128" spans="49:49" x14ac:dyDescent="0.25">
      <c r="AW2128" s="33">
        <v>0</v>
      </c>
    </row>
    <row r="2129" spans="49:49" x14ac:dyDescent="0.25">
      <c r="AW2129" s="33">
        <v>0</v>
      </c>
    </row>
    <row r="2130" spans="49:49" x14ac:dyDescent="0.25">
      <c r="AW2130" s="33">
        <v>0</v>
      </c>
    </row>
    <row r="2131" spans="49:49" x14ac:dyDescent="0.25">
      <c r="AW2131" s="33">
        <v>0</v>
      </c>
    </row>
    <row r="2132" spans="49:49" x14ac:dyDescent="0.25">
      <c r="AW2132" s="33">
        <v>0</v>
      </c>
    </row>
    <row r="2133" spans="49:49" x14ac:dyDescent="0.25">
      <c r="AW2133" s="33">
        <v>0</v>
      </c>
    </row>
    <row r="2134" spans="49:49" x14ac:dyDescent="0.25">
      <c r="AW2134" s="33">
        <v>0</v>
      </c>
    </row>
    <row r="2135" spans="49:49" x14ac:dyDescent="0.25">
      <c r="AW2135" s="33">
        <v>0</v>
      </c>
    </row>
    <row r="2136" spans="49:49" x14ac:dyDescent="0.25">
      <c r="AW2136" s="33">
        <v>0</v>
      </c>
    </row>
    <row r="2137" spans="49:49" x14ac:dyDescent="0.25">
      <c r="AW2137" s="33">
        <v>0</v>
      </c>
    </row>
    <row r="2138" spans="49:49" x14ac:dyDescent="0.25">
      <c r="AW2138" s="33">
        <v>0</v>
      </c>
    </row>
    <row r="2139" spans="49:49" x14ac:dyDescent="0.25">
      <c r="AW2139" s="33">
        <v>0</v>
      </c>
    </row>
    <row r="2140" spans="49:49" x14ac:dyDescent="0.25">
      <c r="AW2140" s="33">
        <v>0</v>
      </c>
    </row>
    <row r="2141" spans="49:49" x14ac:dyDescent="0.25">
      <c r="AW2141" s="33">
        <v>0</v>
      </c>
    </row>
    <row r="2142" spans="49:49" x14ac:dyDescent="0.25">
      <c r="AW2142" s="33">
        <v>0</v>
      </c>
    </row>
    <row r="2143" spans="49:49" x14ac:dyDescent="0.25">
      <c r="AW2143" s="33">
        <v>0</v>
      </c>
    </row>
    <row r="2144" spans="49:49" x14ac:dyDescent="0.25">
      <c r="AW2144" s="33">
        <v>0</v>
      </c>
    </row>
    <row r="2145" spans="49:49" x14ac:dyDescent="0.25">
      <c r="AW2145" s="33">
        <v>0</v>
      </c>
    </row>
    <row r="2146" spans="49:49" x14ac:dyDescent="0.25">
      <c r="AW2146" s="33">
        <v>0</v>
      </c>
    </row>
    <row r="2147" spans="49:49" x14ac:dyDescent="0.25">
      <c r="AW2147" s="33">
        <v>0</v>
      </c>
    </row>
    <row r="2148" spans="49:49" x14ac:dyDescent="0.25">
      <c r="AW2148" s="33">
        <v>0</v>
      </c>
    </row>
    <row r="2149" spans="49:49" x14ac:dyDescent="0.25">
      <c r="AW2149" s="33">
        <v>0</v>
      </c>
    </row>
    <row r="2150" spans="49:49" x14ac:dyDescent="0.25">
      <c r="AW2150" s="33">
        <v>0</v>
      </c>
    </row>
    <row r="2151" spans="49:49" x14ac:dyDescent="0.25">
      <c r="AW2151" s="33">
        <v>0</v>
      </c>
    </row>
    <row r="2152" spans="49:49" x14ac:dyDescent="0.25">
      <c r="AW2152" s="33">
        <v>0</v>
      </c>
    </row>
    <row r="2153" spans="49:49" x14ac:dyDescent="0.25">
      <c r="AW2153" s="33">
        <v>0</v>
      </c>
    </row>
    <row r="2154" spans="49:49" x14ac:dyDescent="0.25">
      <c r="AW2154" s="33">
        <v>0</v>
      </c>
    </row>
    <row r="2155" spans="49:49" x14ac:dyDescent="0.25">
      <c r="AW2155" s="33">
        <v>0</v>
      </c>
    </row>
    <row r="2156" spans="49:49" x14ac:dyDescent="0.25">
      <c r="AW2156" s="33">
        <v>0</v>
      </c>
    </row>
    <row r="2157" spans="49:49" x14ac:dyDescent="0.25">
      <c r="AW2157" s="33">
        <v>0</v>
      </c>
    </row>
    <row r="2158" spans="49:49" x14ac:dyDescent="0.25">
      <c r="AW2158" s="33">
        <v>0</v>
      </c>
    </row>
    <row r="2159" spans="49:49" x14ac:dyDescent="0.25">
      <c r="AW2159" s="33">
        <v>0</v>
      </c>
    </row>
    <row r="2160" spans="49:49" x14ac:dyDescent="0.25">
      <c r="AW2160" s="33">
        <v>0</v>
      </c>
    </row>
    <row r="2161" spans="49:49" x14ac:dyDescent="0.25">
      <c r="AW2161" s="33">
        <v>0</v>
      </c>
    </row>
    <row r="2162" spans="49:49" x14ac:dyDescent="0.25">
      <c r="AW2162" s="33">
        <v>0</v>
      </c>
    </row>
    <row r="2163" spans="49:49" x14ac:dyDescent="0.25">
      <c r="AW2163" s="33">
        <v>0</v>
      </c>
    </row>
    <row r="2164" spans="49:49" x14ac:dyDescent="0.25">
      <c r="AW2164" s="33">
        <v>0</v>
      </c>
    </row>
    <row r="2165" spans="49:49" x14ac:dyDescent="0.25">
      <c r="AW2165" s="33">
        <v>0</v>
      </c>
    </row>
    <row r="2166" spans="49:49" x14ac:dyDescent="0.25">
      <c r="AW2166" s="33">
        <v>0</v>
      </c>
    </row>
    <row r="2167" spans="49:49" x14ac:dyDescent="0.25">
      <c r="AW2167" s="33">
        <v>0</v>
      </c>
    </row>
    <row r="2168" spans="49:49" x14ac:dyDescent="0.25">
      <c r="AW2168" s="33">
        <v>0</v>
      </c>
    </row>
    <row r="2169" spans="49:49" x14ac:dyDescent="0.25">
      <c r="AW2169" s="33">
        <v>0</v>
      </c>
    </row>
    <row r="2170" spans="49:49" x14ac:dyDescent="0.25">
      <c r="AW2170" s="33">
        <v>0</v>
      </c>
    </row>
    <row r="2171" spans="49:49" x14ac:dyDescent="0.25">
      <c r="AW2171" s="33">
        <v>0</v>
      </c>
    </row>
    <row r="2172" spans="49:49" x14ac:dyDescent="0.25">
      <c r="AW2172" s="33">
        <v>0</v>
      </c>
    </row>
    <row r="2173" spans="49:49" x14ac:dyDescent="0.25">
      <c r="AW2173" s="33">
        <v>0</v>
      </c>
    </row>
    <row r="2174" spans="49:49" x14ac:dyDescent="0.25">
      <c r="AW2174" s="33">
        <v>0</v>
      </c>
    </row>
    <row r="2175" spans="49:49" x14ac:dyDescent="0.25">
      <c r="AW2175" s="33">
        <v>0</v>
      </c>
    </row>
    <row r="2176" spans="49:49" x14ac:dyDescent="0.25">
      <c r="AW2176" s="33">
        <v>0</v>
      </c>
    </row>
    <row r="2177" spans="49:49" x14ac:dyDescent="0.25">
      <c r="AW2177" s="33">
        <v>0</v>
      </c>
    </row>
    <row r="2178" spans="49:49" x14ac:dyDescent="0.25">
      <c r="AW2178" s="33">
        <v>0</v>
      </c>
    </row>
    <row r="2179" spans="49:49" x14ac:dyDescent="0.25">
      <c r="AW2179" s="33">
        <v>0</v>
      </c>
    </row>
    <row r="2180" spans="49:49" x14ac:dyDescent="0.25">
      <c r="AW2180" s="33">
        <v>0</v>
      </c>
    </row>
    <row r="2181" spans="49:49" x14ac:dyDescent="0.25">
      <c r="AW2181" s="33">
        <v>0</v>
      </c>
    </row>
    <row r="2182" spans="49:49" x14ac:dyDescent="0.25">
      <c r="AW2182" s="33">
        <v>0</v>
      </c>
    </row>
    <row r="2183" spans="49:49" x14ac:dyDescent="0.25">
      <c r="AW2183" s="33">
        <v>0</v>
      </c>
    </row>
    <row r="2184" spans="49:49" x14ac:dyDescent="0.25">
      <c r="AW2184" s="33">
        <v>0</v>
      </c>
    </row>
    <row r="2185" spans="49:49" x14ac:dyDescent="0.25">
      <c r="AW2185" s="33">
        <v>0</v>
      </c>
    </row>
    <row r="2186" spans="49:49" x14ac:dyDescent="0.25">
      <c r="AW2186" s="33">
        <v>0</v>
      </c>
    </row>
    <row r="2187" spans="49:49" x14ac:dyDescent="0.25">
      <c r="AW2187" s="33">
        <v>0</v>
      </c>
    </row>
    <row r="2188" spans="49:49" x14ac:dyDescent="0.25">
      <c r="AW2188" s="33">
        <v>0</v>
      </c>
    </row>
    <row r="2189" spans="49:49" x14ac:dyDescent="0.25">
      <c r="AW2189" s="33">
        <v>0</v>
      </c>
    </row>
    <row r="2190" spans="49:49" x14ac:dyDescent="0.25">
      <c r="AW2190" s="33">
        <v>0</v>
      </c>
    </row>
    <row r="2191" spans="49:49" x14ac:dyDescent="0.25">
      <c r="AW2191" s="33">
        <v>0</v>
      </c>
    </row>
    <row r="2192" spans="49:49" x14ac:dyDescent="0.25">
      <c r="AW2192" s="33">
        <v>0</v>
      </c>
    </row>
    <row r="2193" spans="49:49" x14ac:dyDescent="0.25">
      <c r="AW2193" s="33">
        <v>0</v>
      </c>
    </row>
    <row r="2194" spans="49:49" x14ac:dyDescent="0.25">
      <c r="AW2194" s="33">
        <v>0</v>
      </c>
    </row>
    <row r="2195" spans="49:49" x14ac:dyDescent="0.25">
      <c r="AW2195" s="33">
        <v>0</v>
      </c>
    </row>
    <row r="2196" spans="49:49" x14ac:dyDescent="0.25">
      <c r="AW2196" s="33">
        <v>0</v>
      </c>
    </row>
    <row r="2197" spans="49:49" x14ac:dyDescent="0.25">
      <c r="AW2197" s="33">
        <v>0</v>
      </c>
    </row>
    <row r="2198" spans="49:49" x14ac:dyDescent="0.25">
      <c r="AW2198" s="33">
        <v>0</v>
      </c>
    </row>
    <row r="2199" spans="49:49" x14ac:dyDescent="0.25">
      <c r="AW2199" s="33">
        <v>0</v>
      </c>
    </row>
    <row r="2200" spans="49:49" x14ac:dyDescent="0.25">
      <c r="AW2200" s="33">
        <v>0</v>
      </c>
    </row>
    <row r="2201" spans="49:49" x14ac:dyDescent="0.25">
      <c r="AW2201" s="33">
        <v>0</v>
      </c>
    </row>
    <row r="2202" spans="49:49" x14ac:dyDescent="0.25">
      <c r="AW2202" s="33">
        <v>0</v>
      </c>
    </row>
    <row r="2203" spans="49:49" x14ac:dyDescent="0.25">
      <c r="AW2203" s="33">
        <v>0</v>
      </c>
    </row>
    <row r="2204" spans="49:49" x14ac:dyDescent="0.25">
      <c r="AW2204" s="33">
        <v>0</v>
      </c>
    </row>
    <row r="2205" spans="49:49" x14ac:dyDescent="0.25">
      <c r="AW2205" s="33">
        <v>0</v>
      </c>
    </row>
    <row r="2206" spans="49:49" x14ac:dyDescent="0.25">
      <c r="AW2206" s="33">
        <v>0</v>
      </c>
    </row>
    <row r="2207" spans="49:49" x14ac:dyDescent="0.25">
      <c r="AW2207" s="33">
        <v>0</v>
      </c>
    </row>
    <row r="2208" spans="49:49" x14ac:dyDescent="0.25">
      <c r="AW2208" s="33">
        <v>0</v>
      </c>
    </row>
  </sheetData>
  <sortState xmlns:xlrd2="http://schemas.microsoft.com/office/spreadsheetml/2017/richdata2" ref="B6:AU122">
    <sortCondition ref="B6:B12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B2E1A-DEC3-4F5B-BABC-0E49A95C0A5C}">
  <sheetPr codeName="Sheet2"/>
  <dimension ref="A1:AA163"/>
  <sheetViews>
    <sheetView showGridLines="0" tabSelected="1" workbookViewId="0">
      <selection activeCell="M4" sqref="M4"/>
    </sheetView>
  </sheetViews>
  <sheetFormatPr defaultColWidth="9.140625" defaultRowHeight="15" x14ac:dyDescent="0.25"/>
  <cols>
    <col min="1" max="1" width="16.85546875" customWidth="1"/>
    <col min="2" max="2" width="20.5703125" style="2" customWidth="1"/>
    <col min="3" max="3" width="13.28515625" customWidth="1"/>
    <col min="4" max="4" width="4.85546875" customWidth="1"/>
    <col min="5" max="27" width="10" customWidth="1"/>
    <col min="28" max="28" width="7.5703125" customWidth="1"/>
  </cols>
  <sheetData>
    <row r="1" spans="1:27" x14ac:dyDescent="0.25">
      <c r="F1" s="10"/>
    </row>
    <row r="2" spans="1:27" x14ac:dyDescent="0.25">
      <c r="A2" s="151" t="s">
        <v>253</v>
      </c>
      <c r="B2" s="138"/>
      <c r="F2" s="10"/>
    </row>
    <row r="3" spans="1:27" x14ac:dyDescent="0.25">
      <c r="A3" s="151" t="s">
        <v>254</v>
      </c>
      <c r="B3" s="138"/>
      <c r="F3" s="149"/>
    </row>
    <row r="4" spans="1:27" ht="12" customHeight="1" x14ac:dyDescent="0.25">
      <c r="A4" s="1"/>
      <c r="F4" s="159"/>
    </row>
    <row r="5" spans="1:27" x14ac:dyDescent="0.25">
      <c r="A5" s="151" t="s">
        <v>255</v>
      </c>
      <c r="B5" s="138"/>
      <c r="F5" s="10"/>
    </row>
    <row r="6" spans="1:27" x14ac:dyDescent="0.25">
      <c r="A6" s="151" t="s">
        <v>258</v>
      </c>
      <c r="B6" s="138"/>
    </row>
    <row r="7" spans="1:27" x14ac:dyDescent="0.25">
      <c r="A7" s="152"/>
      <c r="B7" s="148"/>
    </row>
    <row r="8" spans="1:27" s="91" customFormat="1" x14ac:dyDescent="0.25">
      <c r="A8" s="153" t="s">
        <v>4</v>
      </c>
      <c r="B8" s="154" t="s">
        <v>204</v>
      </c>
      <c r="E8" s="83" t="s">
        <v>16</v>
      </c>
      <c r="F8" s="83" t="s">
        <v>160</v>
      </c>
      <c r="G8" s="83" t="s">
        <v>60</v>
      </c>
      <c r="H8" s="83" t="s">
        <v>161</v>
      </c>
      <c r="I8" s="83" t="s">
        <v>162</v>
      </c>
      <c r="J8" s="83" t="s">
        <v>41</v>
      </c>
      <c r="K8" s="83" t="s">
        <v>47</v>
      </c>
      <c r="L8" s="83" t="s">
        <v>3</v>
      </c>
      <c r="M8" s="83" t="s">
        <v>164</v>
      </c>
      <c r="N8" s="83" t="s">
        <v>42</v>
      </c>
      <c r="O8" s="83" t="s">
        <v>46</v>
      </c>
      <c r="P8" s="83" t="s">
        <v>165</v>
      </c>
      <c r="Q8" s="83" t="s">
        <v>40</v>
      </c>
      <c r="R8" s="83" t="s">
        <v>166</v>
      </c>
      <c r="S8" s="83" t="s">
        <v>167</v>
      </c>
      <c r="T8" s="83" t="s">
        <v>168</v>
      </c>
      <c r="U8" s="83" t="s">
        <v>169</v>
      </c>
      <c r="V8" s="83" t="s">
        <v>170</v>
      </c>
      <c r="W8" s="83" t="s">
        <v>41</v>
      </c>
      <c r="X8" s="83" t="s">
        <v>38</v>
      </c>
      <c r="Y8" s="83" t="s">
        <v>56</v>
      </c>
      <c r="Z8" s="178" t="s">
        <v>257</v>
      </c>
      <c r="AA8" s="178" t="s">
        <v>256</v>
      </c>
    </row>
    <row r="9" spans="1:27" s="91" customFormat="1" x14ac:dyDescent="0.25">
      <c r="A9" s="101" t="s">
        <v>35</v>
      </c>
      <c r="B9" s="155">
        <v>58</v>
      </c>
      <c r="C9" t="b">
        <f>ISNUMBER(_xlfn.XMATCH(A9,'Master Data'!$B$3:$B$122))</f>
        <v>1</v>
      </c>
      <c r="D9"/>
      <c r="E9" s="42" cm="1">
        <f t="array" ref="E9">10^3*(_xlfn.XLOOKUP(E$8,'Master Data'!$C$2:$W$2,_xlfn.XLOOKUP($A9,'Master Data'!$B$3:$B$122,'Master Data'!$C$3:$W$122))-$B9)</f>
        <v>9000</v>
      </c>
      <c r="F9" s="164" cm="1">
        <f t="array" ref="F9">10^3*(_xlfn.XLOOKUP(F$8,'Master Data'!$C$2:$W$2,_xlfn.XLOOKUP($A9,'Master Data'!$B$3:$B$122,'Master Data'!$C$3:$W$122))-$B9)</f>
        <v>9000</v>
      </c>
      <c r="G9" s="164" cm="1">
        <f t="array" ref="G9">10^3*(_xlfn.XLOOKUP(G$8,'Master Data'!$C$2:$W$2,_xlfn.XLOOKUP($A9,'Master Data'!$B$3:$B$122,'Master Data'!$C$3:$W$122))-$B9)</f>
        <v>5000</v>
      </c>
      <c r="H9" s="164" cm="1">
        <f t="array" ref="H9">10^3*(_xlfn.XLOOKUP(H$8,'Master Data'!$C$2:$W$2,_xlfn.XLOOKUP($A9,'Master Data'!$B$3:$B$122,'Master Data'!$C$3:$W$122))-$B9)</f>
        <v>5000</v>
      </c>
      <c r="I9" s="164" cm="1">
        <f t="array" ref="I9">10^3*(_xlfn.XLOOKUP(I$8,'Master Data'!$C$2:$W$2,_xlfn.XLOOKUP($A9,'Master Data'!$B$3:$B$122,'Master Data'!$C$3:$W$122))-$B9)</f>
        <v>5000</v>
      </c>
      <c r="J9" s="164" cm="1">
        <f t="array" ref="J9">10^3*(_xlfn.XLOOKUP(J$8,'Master Data'!$C$2:$W$2,_xlfn.XLOOKUP($A9,'Master Data'!$B$3:$B$122,'Master Data'!$C$3:$W$122))-$B9)</f>
        <v>5000</v>
      </c>
      <c r="K9" s="164" cm="1">
        <f t="array" ref="K9">10^3*(_xlfn.XLOOKUP(K$8,'Master Data'!$C$2:$W$2,_xlfn.XLOOKUP($A9,'Master Data'!$B$3:$B$122,'Master Data'!$C$3:$W$122))-$B9)</f>
        <v>5000</v>
      </c>
      <c r="L9" s="164" cm="1">
        <f t="array" ref="L9">10^3*(_xlfn.XLOOKUP(L$8,'Master Data'!$C$2:$W$2,_xlfn.XLOOKUP($A9,'Master Data'!$B$3:$B$122,'Master Data'!$C$3:$W$122))-$B9)</f>
        <v>5000</v>
      </c>
      <c r="M9" s="164" cm="1">
        <f t="array" ref="M9">10^3*(_xlfn.XLOOKUP(M$8,'Master Data'!$C$2:$W$2,_xlfn.XLOOKUP($A9,'Master Data'!$B$3:$B$122,'Master Data'!$C$3:$W$122))-$B9)</f>
        <v>5000</v>
      </c>
      <c r="N9" s="164" cm="1">
        <f t="array" ref="N9">10^3*(_xlfn.XLOOKUP(N$8,'Master Data'!$C$2:$W$2,_xlfn.XLOOKUP($A9,'Master Data'!$B$3:$B$122,'Master Data'!$C$3:$W$122))-$B9)</f>
        <v>5000</v>
      </c>
      <c r="O9" s="164" cm="1">
        <f t="array" ref="O9">10^3*(_xlfn.XLOOKUP(O$8,'Master Data'!$C$2:$W$2,_xlfn.XLOOKUP($A9,'Master Data'!$B$3:$B$122,'Master Data'!$C$3:$W$122))-$B9)</f>
        <v>5000</v>
      </c>
      <c r="P9" s="164" cm="1">
        <f t="array" ref="P9">10^3*(_xlfn.XLOOKUP(P$8,'Master Data'!$C$2:$W$2,_xlfn.XLOOKUP($A9,'Master Data'!$B$3:$B$122,'Master Data'!$C$3:$W$122))-$B9)</f>
        <v>9000</v>
      </c>
      <c r="Q9" s="164" cm="1">
        <f t="array" ref="Q9">10^3*(_xlfn.XLOOKUP(Q$8,'Master Data'!$C$2:$W$2,_xlfn.XLOOKUP($A9,'Master Data'!$B$3:$B$122,'Master Data'!$C$3:$W$122))-$B9)</f>
        <v>9000</v>
      </c>
      <c r="R9" s="164" cm="1">
        <f t="array" ref="R9">10^3*(_xlfn.XLOOKUP(R$8,'Master Data'!$C$2:$W$2,_xlfn.XLOOKUP($A9,'Master Data'!$B$3:$B$122,'Master Data'!$C$3:$W$122))-$B9)</f>
        <v>9000</v>
      </c>
      <c r="S9" s="164" cm="1">
        <f t="array" ref="S9">10^3*(_xlfn.XLOOKUP(S$8,'Master Data'!$C$2:$W$2,_xlfn.XLOOKUP($A9,'Master Data'!$B$3:$B$122,'Master Data'!$C$3:$W$122))-$B9)</f>
        <v>5000</v>
      </c>
      <c r="T9" s="164" cm="1">
        <f t="array" ref="T9">10^3*(_xlfn.XLOOKUP(T$8,'Master Data'!$C$2:$W$2,_xlfn.XLOOKUP($A9,'Master Data'!$B$3:$B$122,'Master Data'!$C$3:$W$122))-$B9)</f>
        <v>9000</v>
      </c>
      <c r="U9" s="164" cm="1">
        <f t="array" ref="U9">10^3*(_xlfn.XLOOKUP(U$8,'Master Data'!$C$2:$W$2,_xlfn.XLOOKUP($A9,'Master Data'!$B$3:$B$122,'Master Data'!$C$3:$W$122))-$B9)</f>
        <v>9000</v>
      </c>
      <c r="V9" s="164" cm="1">
        <f t="array" ref="V9">10^3*(_xlfn.XLOOKUP(V$8,'Master Data'!$C$2:$W$2,_xlfn.XLOOKUP($A9,'Master Data'!$B$3:$B$122,'Master Data'!$C$3:$W$122))-$B9)</f>
        <v>7000</v>
      </c>
      <c r="W9" s="164" cm="1">
        <f t="array" ref="W9">10^3*(_xlfn.XLOOKUP(W$8,'Master Data'!$C$2:$W$2,_xlfn.XLOOKUP($A9,'Master Data'!$B$3:$B$122,'Master Data'!$C$3:$W$122))-$B9)</f>
        <v>5000</v>
      </c>
      <c r="X9" s="164" cm="1">
        <f t="array" ref="X9">10^3*(_xlfn.XLOOKUP(X$8,'Master Data'!$C$2:$W$2,_xlfn.XLOOKUP($A9,'Master Data'!$B$3:$B$122,'Master Data'!$C$3:$W$122))-$B9)</f>
        <v>5000</v>
      </c>
      <c r="Y9" s="165" cm="1">
        <f t="array" ref="Y9">10^3*(_xlfn.XLOOKUP(Y$8,'Master Data'!$C$2:$W$2,_xlfn.XLOOKUP($A9,'Master Data'!$B$3:$B$122,'Master Data'!$C$3:$W$122))-$B9)</f>
        <v>5000</v>
      </c>
      <c r="Z9" s="165" t="e" cm="1">
        <f t="array" ref="Z9">10^3*(_xlfn.XLOOKUP(Z$8,'Master Data'!$C$2:$W$2,_xlfn.XLOOKUP($A9,'Master Data'!$B$3:$B$122,'Master Data'!$C$3:$W$122))-$B9)</f>
        <v>#N/A</v>
      </c>
      <c r="AA9" s="165" t="e" cm="1">
        <f t="array" ref="AA9">10^3*(_xlfn.XLOOKUP(AA$8,'Master Data'!$C$2:$W$2,_xlfn.XLOOKUP($A9,'Master Data'!$B$3:$B$122,'Master Data'!$C$3:$W$122))-$B9)</f>
        <v>#N/A</v>
      </c>
    </row>
    <row r="10" spans="1:27" s="91" customFormat="1" x14ac:dyDescent="0.25">
      <c r="A10" s="101" t="s">
        <v>75</v>
      </c>
      <c r="B10" s="155">
        <v>65</v>
      </c>
      <c r="C10" t="b">
        <f>ISNUMBER(_xlfn.XMATCH(A10,'Master Data'!$B$3:$B$122))</f>
        <v>1</v>
      </c>
      <c r="D10"/>
      <c r="E10" s="42" cm="1">
        <f t="array" ref="E10">10^3*(_xlfn.XLOOKUP(E$8,'Master Data'!$C$2:$W$2,_xlfn.XLOOKUP($A10,'Master Data'!$B$3:$B$122,'Master Data'!$C$3:$W$122))-$B10)</f>
        <v>10000</v>
      </c>
      <c r="F10" s="164" cm="1">
        <f t="array" ref="F10">10^3*(_xlfn.XLOOKUP(F$8,'Master Data'!$C$2:$W$2,_xlfn.XLOOKUP($A10,'Master Data'!$B$3:$B$122,'Master Data'!$C$3:$W$122))-$B10)</f>
        <v>10000</v>
      </c>
      <c r="G10" s="164" cm="1">
        <f t="array" ref="G10">10^3*(_xlfn.XLOOKUP(G$8,'Master Data'!$C$2:$W$2,_xlfn.XLOOKUP($A10,'Master Data'!$B$3:$B$122,'Master Data'!$C$3:$W$122))-$B10)</f>
        <v>8000</v>
      </c>
      <c r="H10" s="164" cm="1">
        <f t="array" ref="H10">10^3*(_xlfn.XLOOKUP(H$8,'Master Data'!$C$2:$W$2,_xlfn.XLOOKUP($A10,'Master Data'!$B$3:$B$122,'Master Data'!$C$3:$W$122))-$B10)</f>
        <v>10000</v>
      </c>
      <c r="I10" s="164" cm="1">
        <f t="array" ref="I10">10^3*(_xlfn.XLOOKUP(I$8,'Master Data'!$C$2:$W$2,_xlfn.XLOOKUP($A10,'Master Data'!$B$3:$B$122,'Master Data'!$C$3:$W$122))-$B10)</f>
        <v>10000</v>
      </c>
      <c r="J10" s="164" cm="1">
        <f t="array" ref="J10">10^3*(_xlfn.XLOOKUP(J$8,'Master Data'!$C$2:$W$2,_xlfn.XLOOKUP($A10,'Master Data'!$B$3:$B$122,'Master Data'!$C$3:$W$122))-$B10)</f>
        <v>8000</v>
      </c>
      <c r="K10" s="164" cm="1">
        <f t="array" ref="K10">10^3*(_xlfn.XLOOKUP(K$8,'Master Data'!$C$2:$W$2,_xlfn.XLOOKUP($A10,'Master Data'!$B$3:$B$122,'Master Data'!$C$3:$W$122))-$B10)</f>
        <v>10000</v>
      </c>
      <c r="L10" s="164" cm="1">
        <f t="array" ref="L10">10^3*(_xlfn.XLOOKUP(L$8,'Master Data'!$C$2:$W$2,_xlfn.XLOOKUP($A10,'Master Data'!$B$3:$B$122,'Master Data'!$C$3:$W$122))-$B10)</f>
        <v>10000</v>
      </c>
      <c r="M10" s="164" cm="1">
        <f t="array" ref="M10">10^3*(_xlfn.XLOOKUP(M$8,'Master Data'!$C$2:$W$2,_xlfn.XLOOKUP($A10,'Master Data'!$B$3:$B$122,'Master Data'!$C$3:$W$122))-$B10)</f>
        <v>8000</v>
      </c>
      <c r="N10" s="164" cm="1">
        <f t="array" ref="N10">10^3*(_xlfn.XLOOKUP(N$8,'Master Data'!$C$2:$W$2,_xlfn.XLOOKUP($A10,'Master Data'!$B$3:$B$122,'Master Data'!$C$3:$W$122))-$B10)</f>
        <v>8000</v>
      </c>
      <c r="O10" s="164" cm="1">
        <f t="array" ref="O10">10^3*(_xlfn.XLOOKUP(O$8,'Master Data'!$C$2:$W$2,_xlfn.XLOOKUP($A10,'Master Data'!$B$3:$B$122,'Master Data'!$C$3:$W$122))-$B10)</f>
        <v>8000</v>
      </c>
      <c r="P10" s="164" cm="1">
        <f t="array" ref="P10">10^3*(_xlfn.XLOOKUP(P$8,'Master Data'!$C$2:$W$2,_xlfn.XLOOKUP($A10,'Master Data'!$B$3:$B$122,'Master Data'!$C$3:$W$122))-$B10)</f>
        <v>10000</v>
      </c>
      <c r="Q10" s="164" cm="1">
        <f t="array" ref="Q10">10^3*(_xlfn.XLOOKUP(Q$8,'Master Data'!$C$2:$W$2,_xlfn.XLOOKUP($A10,'Master Data'!$B$3:$B$122,'Master Data'!$C$3:$W$122))-$B10)</f>
        <v>10000</v>
      </c>
      <c r="R10" s="164" cm="1">
        <f t="array" ref="R10">10^3*(_xlfn.XLOOKUP(R$8,'Master Data'!$C$2:$W$2,_xlfn.XLOOKUP($A10,'Master Data'!$B$3:$B$122,'Master Data'!$C$3:$W$122))-$B10)</f>
        <v>10000</v>
      </c>
      <c r="S10" s="164" cm="1">
        <f t="array" ref="S10">10^3*(_xlfn.XLOOKUP(S$8,'Master Data'!$C$2:$W$2,_xlfn.XLOOKUP($A10,'Master Data'!$B$3:$B$122,'Master Data'!$C$3:$W$122))-$B10)</f>
        <v>8000</v>
      </c>
      <c r="T10" s="164" cm="1">
        <f t="array" ref="T10">10^3*(_xlfn.XLOOKUP(T$8,'Master Data'!$C$2:$W$2,_xlfn.XLOOKUP($A10,'Master Data'!$B$3:$B$122,'Master Data'!$C$3:$W$122))-$B10)</f>
        <v>10000</v>
      </c>
      <c r="U10" s="164" cm="1">
        <f t="array" ref="U10">10^3*(_xlfn.XLOOKUP(U$8,'Master Data'!$C$2:$W$2,_xlfn.XLOOKUP($A10,'Master Data'!$B$3:$B$122,'Master Data'!$C$3:$W$122))-$B10)</f>
        <v>10000</v>
      </c>
      <c r="V10" s="164" cm="1">
        <f t="array" ref="V10">10^3*(_xlfn.XLOOKUP(V$8,'Master Data'!$C$2:$W$2,_xlfn.XLOOKUP($A10,'Master Data'!$B$3:$B$122,'Master Data'!$C$3:$W$122))-$B10)</f>
        <v>10000</v>
      </c>
      <c r="W10" s="164" cm="1">
        <f t="array" ref="W10">10^3*(_xlfn.XLOOKUP(W$8,'Master Data'!$C$2:$W$2,_xlfn.XLOOKUP($A10,'Master Data'!$B$3:$B$122,'Master Data'!$C$3:$W$122))-$B10)</f>
        <v>8000</v>
      </c>
      <c r="X10" s="164" cm="1">
        <f t="array" ref="X10">10^3*(_xlfn.XLOOKUP(X$8,'Master Data'!$C$2:$W$2,_xlfn.XLOOKUP($A10,'Master Data'!$B$3:$B$122,'Master Data'!$C$3:$W$122))-$B10)</f>
        <v>8000</v>
      </c>
      <c r="Y10" s="165" cm="1">
        <f t="array" ref="Y10">10^3*(_xlfn.XLOOKUP(Y$8,'Master Data'!$C$2:$W$2,_xlfn.XLOOKUP($A10,'Master Data'!$B$3:$B$122,'Master Data'!$C$3:$W$122))-$B10)</f>
        <v>8000</v>
      </c>
      <c r="Z10" s="165" t="e" cm="1">
        <f t="array" ref="Z10">10^3*(_xlfn.XLOOKUP(Z$8,'Master Data'!$C$2:$W$2,_xlfn.XLOOKUP($A10,'Master Data'!$B$3:$B$122,'Master Data'!$C$3:$W$122))-$B10)</f>
        <v>#N/A</v>
      </c>
      <c r="AA10" s="165" t="e" cm="1">
        <f t="array" ref="AA10">10^3*(_xlfn.XLOOKUP(AA$8,'Master Data'!$C$2:$W$2,_xlfn.XLOOKUP($A10,'Master Data'!$B$3:$B$122,'Master Data'!$C$3:$W$122))-$B10)</f>
        <v>#N/A</v>
      </c>
    </row>
    <row r="11" spans="1:27" s="91" customFormat="1" x14ac:dyDescent="0.25">
      <c r="A11" s="101" t="s">
        <v>76</v>
      </c>
      <c r="B11" s="155">
        <v>56</v>
      </c>
      <c r="C11" t="b">
        <f>ISNUMBER(_xlfn.XMATCH(A11,'Master Data'!$B$3:$B$122))</f>
        <v>1</v>
      </c>
      <c r="D11"/>
      <c r="E11" s="42" cm="1">
        <f t="array" ref="E11">10^3*(_xlfn.XLOOKUP(E$8,'Master Data'!$C$2:$W$2,_xlfn.XLOOKUP($A11,'Master Data'!$B$3:$B$122,'Master Data'!$C$3:$W$122))-$B11)</f>
        <v>9000</v>
      </c>
      <c r="F11" s="164" cm="1">
        <f t="array" ref="F11">10^3*(_xlfn.XLOOKUP(F$8,'Master Data'!$C$2:$W$2,_xlfn.XLOOKUP($A11,'Master Data'!$B$3:$B$122,'Master Data'!$C$3:$W$122))-$B11)</f>
        <v>9000</v>
      </c>
      <c r="G11" s="164" cm="1">
        <f t="array" ref="G11">10^3*(_xlfn.XLOOKUP(G$8,'Master Data'!$C$2:$W$2,_xlfn.XLOOKUP($A11,'Master Data'!$B$3:$B$122,'Master Data'!$C$3:$W$122))-$B11)</f>
        <v>9000</v>
      </c>
      <c r="H11" s="164" cm="1">
        <f t="array" ref="H11">10^3*(_xlfn.XLOOKUP(H$8,'Master Data'!$C$2:$W$2,_xlfn.XLOOKUP($A11,'Master Data'!$B$3:$B$122,'Master Data'!$C$3:$W$122))-$B11)</f>
        <v>9000</v>
      </c>
      <c r="I11" s="164" cm="1">
        <f t="array" ref="I11">10^3*(_xlfn.XLOOKUP(I$8,'Master Data'!$C$2:$W$2,_xlfn.XLOOKUP($A11,'Master Data'!$B$3:$B$122,'Master Data'!$C$3:$W$122))-$B11)</f>
        <v>9000</v>
      </c>
      <c r="J11" s="164" cm="1">
        <f t="array" ref="J11">10^3*(_xlfn.XLOOKUP(J$8,'Master Data'!$C$2:$W$2,_xlfn.XLOOKUP($A11,'Master Data'!$B$3:$B$122,'Master Data'!$C$3:$W$122))-$B11)</f>
        <v>9000</v>
      </c>
      <c r="K11" s="164" cm="1">
        <f t="array" ref="K11">10^3*(_xlfn.XLOOKUP(K$8,'Master Data'!$C$2:$W$2,_xlfn.XLOOKUP($A11,'Master Data'!$B$3:$B$122,'Master Data'!$C$3:$W$122))-$B11)</f>
        <v>9000</v>
      </c>
      <c r="L11" s="164" cm="1">
        <f t="array" ref="L11">10^3*(_xlfn.XLOOKUP(L$8,'Master Data'!$C$2:$W$2,_xlfn.XLOOKUP($A11,'Master Data'!$B$3:$B$122,'Master Data'!$C$3:$W$122))-$B11)</f>
        <v>9000</v>
      </c>
      <c r="M11" s="164" cm="1">
        <f t="array" ref="M11">10^3*(_xlfn.XLOOKUP(M$8,'Master Data'!$C$2:$W$2,_xlfn.XLOOKUP($A11,'Master Data'!$B$3:$B$122,'Master Data'!$C$3:$W$122))-$B11)</f>
        <v>9000</v>
      </c>
      <c r="N11" s="164" cm="1">
        <f t="array" ref="N11">10^3*(_xlfn.XLOOKUP(N$8,'Master Data'!$C$2:$W$2,_xlfn.XLOOKUP($A11,'Master Data'!$B$3:$B$122,'Master Data'!$C$3:$W$122))-$B11)</f>
        <v>9000</v>
      </c>
      <c r="O11" s="164" cm="1">
        <f t="array" ref="O11">10^3*(_xlfn.XLOOKUP(O$8,'Master Data'!$C$2:$W$2,_xlfn.XLOOKUP($A11,'Master Data'!$B$3:$B$122,'Master Data'!$C$3:$W$122))-$B11)</f>
        <v>9000</v>
      </c>
      <c r="P11" s="164" cm="1">
        <f t="array" ref="P11">10^3*(_xlfn.XLOOKUP(P$8,'Master Data'!$C$2:$W$2,_xlfn.XLOOKUP($A11,'Master Data'!$B$3:$B$122,'Master Data'!$C$3:$W$122))-$B11)</f>
        <v>9000</v>
      </c>
      <c r="Q11" s="164" cm="1">
        <f t="array" ref="Q11">10^3*(_xlfn.XLOOKUP(Q$8,'Master Data'!$C$2:$W$2,_xlfn.XLOOKUP($A11,'Master Data'!$B$3:$B$122,'Master Data'!$C$3:$W$122))-$B11)</f>
        <v>9000</v>
      </c>
      <c r="R11" s="164" cm="1">
        <f t="array" ref="R11">10^3*(_xlfn.XLOOKUP(R$8,'Master Data'!$C$2:$W$2,_xlfn.XLOOKUP($A11,'Master Data'!$B$3:$B$122,'Master Data'!$C$3:$W$122))-$B11)</f>
        <v>9000</v>
      </c>
      <c r="S11" s="164" cm="1">
        <f t="array" ref="S11">10^3*(_xlfn.XLOOKUP(S$8,'Master Data'!$C$2:$W$2,_xlfn.XLOOKUP($A11,'Master Data'!$B$3:$B$122,'Master Data'!$C$3:$W$122))-$B11)</f>
        <v>9000</v>
      </c>
      <c r="T11" s="164" cm="1">
        <f t="array" ref="T11">10^3*(_xlfn.XLOOKUP(T$8,'Master Data'!$C$2:$W$2,_xlfn.XLOOKUP($A11,'Master Data'!$B$3:$B$122,'Master Data'!$C$3:$W$122))-$B11)</f>
        <v>9000</v>
      </c>
      <c r="U11" s="164" cm="1">
        <f t="array" ref="U11">10^3*(_xlfn.XLOOKUP(U$8,'Master Data'!$C$2:$W$2,_xlfn.XLOOKUP($A11,'Master Data'!$B$3:$B$122,'Master Data'!$C$3:$W$122))-$B11)</f>
        <v>9000</v>
      </c>
      <c r="V11" s="164" cm="1">
        <f t="array" ref="V11">10^3*(_xlfn.XLOOKUP(V$8,'Master Data'!$C$2:$W$2,_xlfn.XLOOKUP($A11,'Master Data'!$B$3:$B$122,'Master Data'!$C$3:$W$122))-$B11)</f>
        <v>9000</v>
      </c>
      <c r="W11" s="164" cm="1">
        <f t="array" ref="W11">10^3*(_xlfn.XLOOKUP(W$8,'Master Data'!$C$2:$W$2,_xlfn.XLOOKUP($A11,'Master Data'!$B$3:$B$122,'Master Data'!$C$3:$W$122))-$B11)</f>
        <v>9000</v>
      </c>
      <c r="X11" s="164" cm="1">
        <f t="array" ref="X11">10^3*(_xlfn.XLOOKUP(X$8,'Master Data'!$C$2:$W$2,_xlfn.XLOOKUP($A11,'Master Data'!$B$3:$B$122,'Master Data'!$C$3:$W$122))-$B11)</f>
        <v>9000</v>
      </c>
      <c r="Y11" s="165" cm="1">
        <f t="array" ref="Y11">10^3*(_xlfn.XLOOKUP(Y$8,'Master Data'!$C$2:$W$2,_xlfn.XLOOKUP($A11,'Master Data'!$B$3:$B$122,'Master Data'!$C$3:$W$122))-$B11)</f>
        <v>9000</v>
      </c>
      <c r="Z11" s="165" t="e" cm="1">
        <f t="array" ref="Z11">10^3*(_xlfn.XLOOKUP(Z$8,'Master Data'!$C$2:$W$2,_xlfn.XLOOKUP($A11,'Master Data'!$B$3:$B$122,'Master Data'!$C$3:$W$122))-$B11)</f>
        <v>#N/A</v>
      </c>
      <c r="AA11" s="165" t="e" cm="1">
        <f t="array" ref="AA11">10^3*(_xlfn.XLOOKUP(AA$8,'Master Data'!$C$2:$W$2,_xlfn.XLOOKUP($A11,'Master Data'!$B$3:$B$122,'Master Data'!$C$3:$W$122))-$B11)</f>
        <v>#N/A</v>
      </c>
    </row>
    <row r="12" spans="1:27" s="91" customFormat="1" x14ac:dyDescent="0.25">
      <c r="A12" s="101" t="s">
        <v>77</v>
      </c>
      <c r="B12" s="155">
        <v>74</v>
      </c>
      <c r="C12" t="b">
        <f>ISNUMBER(_xlfn.XMATCH(A12,'Master Data'!$B$3:$B$122))</f>
        <v>1</v>
      </c>
      <c r="D12"/>
      <c r="E12" s="42" cm="1">
        <f t="array" ref="E12">10^3*(_xlfn.XLOOKUP(E$8,'Master Data'!$C$2:$W$2,_xlfn.XLOOKUP($A12,'Master Data'!$B$3:$B$122,'Master Data'!$C$3:$W$122))-$B12)</f>
        <v>11000</v>
      </c>
      <c r="F12" s="164" cm="1">
        <f t="array" ref="F12">10^3*(_xlfn.XLOOKUP(F$8,'Master Data'!$C$2:$W$2,_xlfn.XLOOKUP($A12,'Master Data'!$B$3:$B$122,'Master Data'!$C$3:$W$122))-$B12)</f>
        <v>11000</v>
      </c>
      <c r="G12" s="164" cm="1">
        <f t="array" ref="G12">10^3*(_xlfn.XLOOKUP(G$8,'Master Data'!$C$2:$W$2,_xlfn.XLOOKUP($A12,'Master Data'!$B$3:$B$122,'Master Data'!$C$3:$W$122))-$B12)</f>
        <v>7000</v>
      </c>
      <c r="H12" s="164" cm="1">
        <f t="array" ref="H12">10^3*(_xlfn.XLOOKUP(H$8,'Master Data'!$C$2:$W$2,_xlfn.XLOOKUP($A12,'Master Data'!$B$3:$B$122,'Master Data'!$C$3:$W$122))-$B12)</f>
        <v>7000</v>
      </c>
      <c r="I12" s="164" cm="1">
        <f t="array" ref="I12">10^3*(_xlfn.XLOOKUP(I$8,'Master Data'!$C$2:$W$2,_xlfn.XLOOKUP($A12,'Master Data'!$B$3:$B$122,'Master Data'!$C$3:$W$122))-$B12)</f>
        <v>7000</v>
      </c>
      <c r="J12" s="164" cm="1">
        <f t="array" ref="J12">10^3*(_xlfn.XLOOKUP(J$8,'Master Data'!$C$2:$W$2,_xlfn.XLOOKUP($A12,'Master Data'!$B$3:$B$122,'Master Data'!$C$3:$W$122))-$B12)</f>
        <v>7000</v>
      </c>
      <c r="K12" s="164" cm="1">
        <f t="array" ref="K12">10^3*(_xlfn.XLOOKUP(K$8,'Master Data'!$C$2:$W$2,_xlfn.XLOOKUP($A12,'Master Data'!$B$3:$B$122,'Master Data'!$C$3:$W$122))-$B12)</f>
        <v>7000</v>
      </c>
      <c r="L12" s="164" cm="1">
        <f t="array" ref="L12">10^3*(_xlfn.XLOOKUP(L$8,'Master Data'!$C$2:$W$2,_xlfn.XLOOKUP($A12,'Master Data'!$B$3:$B$122,'Master Data'!$C$3:$W$122))-$B12)</f>
        <v>7000</v>
      </c>
      <c r="M12" s="164" cm="1">
        <f t="array" ref="M12">10^3*(_xlfn.XLOOKUP(M$8,'Master Data'!$C$2:$W$2,_xlfn.XLOOKUP($A12,'Master Data'!$B$3:$B$122,'Master Data'!$C$3:$W$122))-$B12)</f>
        <v>7000</v>
      </c>
      <c r="N12" s="164" cm="1">
        <f t="array" ref="N12">10^3*(_xlfn.XLOOKUP(N$8,'Master Data'!$C$2:$W$2,_xlfn.XLOOKUP($A12,'Master Data'!$B$3:$B$122,'Master Data'!$C$3:$W$122))-$B12)</f>
        <v>7000</v>
      </c>
      <c r="O12" s="164" cm="1">
        <f t="array" ref="O12">10^3*(_xlfn.XLOOKUP(O$8,'Master Data'!$C$2:$W$2,_xlfn.XLOOKUP($A12,'Master Data'!$B$3:$B$122,'Master Data'!$C$3:$W$122))-$B12)</f>
        <v>7000</v>
      </c>
      <c r="P12" s="164" cm="1">
        <f t="array" ref="P12">10^3*(_xlfn.XLOOKUP(P$8,'Master Data'!$C$2:$W$2,_xlfn.XLOOKUP($A12,'Master Data'!$B$3:$B$122,'Master Data'!$C$3:$W$122))-$B12)</f>
        <v>11000</v>
      </c>
      <c r="Q12" s="164" cm="1">
        <f t="array" ref="Q12">10^3*(_xlfn.XLOOKUP(Q$8,'Master Data'!$C$2:$W$2,_xlfn.XLOOKUP($A12,'Master Data'!$B$3:$B$122,'Master Data'!$C$3:$W$122))-$B12)</f>
        <v>11000</v>
      </c>
      <c r="R12" s="164" cm="1">
        <f t="array" ref="R12">10^3*(_xlfn.XLOOKUP(R$8,'Master Data'!$C$2:$W$2,_xlfn.XLOOKUP($A12,'Master Data'!$B$3:$B$122,'Master Data'!$C$3:$W$122))-$B12)</f>
        <v>11000</v>
      </c>
      <c r="S12" s="164" cm="1">
        <f t="array" ref="S12">10^3*(_xlfn.XLOOKUP(S$8,'Master Data'!$C$2:$W$2,_xlfn.XLOOKUP($A12,'Master Data'!$B$3:$B$122,'Master Data'!$C$3:$W$122))-$B12)</f>
        <v>7000</v>
      </c>
      <c r="T12" s="164" cm="1">
        <f t="array" ref="T12">10^3*(_xlfn.XLOOKUP(T$8,'Master Data'!$C$2:$W$2,_xlfn.XLOOKUP($A12,'Master Data'!$B$3:$B$122,'Master Data'!$C$3:$W$122))-$B12)</f>
        <v>11000</v>
      </c>
      <c r="U12" s="164" cm="1">
        <f t="array" ref="U12">10^3*(_xlfn.XLOOKUP(U$8,'Master Data'!$C$2:$W$2,_xlfn.XLOOKUP($A12,'Master Data'!$B$3:$B$122,'Master Data'!$C$3:$W$122))-$B12)</f>
        <v>11000</v>
      </c>
      <c r="V12" s="164" cm="1">
        <f t="array" ref="V12">10^3*(_xlfn.XLOOKUP(V$8,'Master Data'!$C$2:$W$2,_xlfn.XLOOKUP($A12,'Master Data'!$B$3:$B$122,'Master Data'!$C$3:$W$122))-$B12)</f>
        <v>11000</v>
      </c>
      <c r="W12" s="164" cm="1">
        <f t="array" ref="W12">10^3*(_xlfn.XLOOKUP(W$8,'Master Data'!$C$2:$W$2,_xlfn.XLOOKUP($A12,'Master Data'!$B$3:$B$122,'Master Data'!$C$3:$W$122))-$B12)</f>
        <v>7000</v>
      </c>
      <c r="X12" s="164" cm="1">
        <f t="array" ref="X12">10^3*(_xlfn.XLOOKUP(X$8,'Master Data'!$C$2:$W$2,_xlfn.XLOOKUP($A12,'Master Data'!$B$3:$B$122,'Master Data'!$C$3:$W$122))-$B12)</f>
        <v>7000</v>
      </c>
      <c r="Y12" s="165" cm="1">
        <f t="array" ref="Y12">10^3*(_xlfn.XLOOKUP(Y$8,'Master Data'!$C$2:$W$2,_xlfn.XLOOKUP($A12,'Master Data'!$B$3:$B$122,'Master Data'!$C$3:$W$122))-$B12)</f>
        <v>7000</v>
      </c>
      <c r="Z12" s="165" t="e" cm="1">
        <f t="array" ref="Z12">10^3*(_xlfn.XLOOKUP(Z$8,'Master Data'!$C$2:$W$2,_xlfn.XLOOKUP($A12,'Master Data'!$B$3:$B$122,'Master Data'!$C$3:$W$122))-$B12)</f>
        <v>#N/A</v>
      </c>
      <c r="AA12" s="165" t="e" cm="1">
        <f t="array" ref="AA12">10^3*(_xlfn.XLOOKUP(AA$8,'Master Data'!$C$2:$W$2,_xlfn.XLOOKUP($A12,'Master Data'!$B$3:$B$122,'Master Data'!$C$3:$W$122))-$B12)</f>
        <v>#N/A</v>
      </c>
    </row>
    <row r="13" spans="1:27" s="91" customFormat="1" x14ac:dyDescent="0.25">
      <c r="A13" s="101" t="s">
        <v>20</v>
      </c>
      <c r="B13" s="155">
        <v>65</v>
      </c>
      <c r="C13" t="b">
        <f>ISNUMBER(_xlfn.XMATCH(A13,'Master Data'!$B$3:$B$122))</f>
        <v>1</v>
      </c>
      <c r="D13"/>
      <c r="E13" s="42" cm="1">
        <f t="array" ref="E13">10^3*(_xlfn.XLOOKUP(E$8,'Master Data'!$C$2:$W$2,_xlfn.XLOOKUP($A13,'Master Data'!$B$3:$B$122,'Master Data'!$C$3:$W$122))-$B13)</f>
        <v>10000</v>
      </c>
      <c r="F13" s="164" cm="1">
        <f t="array" ref="F13">10^3*(_xlfn.XLOOKUP(F$8,'Master Data'!$C$2:$W$2,_xlfn.XLOOKUP($A13,'Master Data'!$B$3:$B$122,'Master Data'!$C$3:$W$122))-$B13)</f>
        <v>10000</v>
      </c>
      <c r="G13" s="164" cm="1">
        <f t="array" ref="G13">10^3*(_xlfn.XLOOKUP(G$8,'Master Data'!$C$2:$W$2,_xlfn.XLOOKUP($A13,'Master Data'!$B$3:$B$122,'Master Data'!$C$3:$W$122))-$B13)</f>
        <v>10000</v>
      </c>
      <c r="H13" s="164" cm="1">
        <f t="array" ref="H13">10^3*(_xlfn.XLOOKUP(H$8,'Master Data'!$C$2:$W$2,_xlfn.XLOOKUP($A13,'Master Data'!$B$3:$B$122,'Master Data'!$C$3:$W$122))-$B13)</f>
        <v>10000</v>
      </c>
      <c r="I13" s="164" cm="1">
        <f t="array" ref="I13">10^3*(_xlfn.XLOOKUP(I$8,'Master Data'!$C$2:$W$2,_xlfn.XLOOKUP($A13,'Master Data'!$B$3:$B$122,'Master Data'!$C$3:$W$122))-$B13)</f>
        <v>10000</v>
      </c>
      <c r="J13" s="164" cm="1">
        <f t="array" ref="J13">10^3*(_xlfn.XLOOKUP(J$8,'Master Data'!$C$2:$W$2,_xlfn.XLOOKUP($A13,'Master Data'!$B$3:$B$122,'Master Data'!$C$3:$W$122))-$B13)</f>
        <v>10000</v>
      </c>
      <c r="K13" s="164" cm="1">
        <f t="array" ref="K13">10^3*(_xlfn.XLOOKUP(K$8,'Master Data'!$C$2:$W$2,_xlfn.XLOOKUP($A13,'Master Data'!$B$3:$B$122,'Master Data'!$C$3:$W$122))-$B13)</f>
        <v>10000</v>
      </c>
      <c r="L13" s="164" cm="1">
        <f t="array" ref="L13">10^3*(_xlfn.XLOOKUP(L$8,'Master Data'!$C$2:$W$2,_xlfn.XLOOKUP($A13,'Master Data'!$B$3:$B$122,'Master Data'!$C$3:$W$122))-$B13)</f>
        <v>10000</v>
      </c>
      <c r="M13" s="164" cm="1">
        <f t="array" ref="M13">10^3*(_xlfn.XLOOKUP(M$8,'Master Data'!$C$2:$W$2,_xlfn.XLOOKUP($A13,'Master Data'!$B$3:$B$122,'Master Data'!$C$3:$W$122))-$B13)</f>
        <v>10000</v>
      </c>
      <c r="N13" s="164" cm="1">
        <f t="array" ref="N13">10^3*(_xlfn.XLOOKUP(N$8,'Master Data'!$C$2:$W$2,_xlfn.XLOOKUP($A13,'Master Data'!$B$3:$B$122,'Master Data'!$C$3:$W$122))-$B13)</f>
        <v>10000</v>
      </c>
      <c r="O13" s="164" cm="1">
        <f t="array" ref="O13">10^3*(_xlfn.XLOOKUP(O$8,'Master Data'!$C$2:$W$2,_xlfn.XLOOKUP($A13,'Master Data'!$B$3:$B$122,'Master Data'!$C$3:$W$122))-$B13)</f>
        <v>10000</v>
      </c>
      <c r="P13" s="164" cm="1">
        <f t="array" ref="P13">10^3*(_xlfn.XLOOKUP(P$8,'Master Data'!$C$2:$W$2,_xlfn.XLOOKUP($A13,'Master Data'!$B$3:$B$122,'Master Data'!$C$3:$W$122))-$B13)</f>
        <v>10000</v>
      </c>
      <c r="Q13" s="164" cm="1">
        <f t="array" ref="Q13">10^3*(_xlfn.XLOOKUP(Q$8,'Master Data'!$C$2:$W$2,_xlfn.XLOOKUP($A13,'Master Data'!$B$3:$B$122,'Master Data'!$C$3:$W$122))-$B13)</f>
        <v>10000</v>
      </c>
      <c r="R13" s="164" cm="1">
        <f t="array" ref="R13">10^3*(_xlfn.XLOOKUP(R$8,'Master Data'!$C$2:$W$2,_xlfn.XLOOKUP($A13,'Master Data'!$B$3:$B$122,'Master Data'!$C$3:$W$122))-$B13)</f>
        <v>15000</v>
      </c>
      <c r="S13" s="164" cm="1">
        <f t="array" ref="S13">10^3*(_xlfn.XLOOKUP(S$8,'Master Data'!$C$2:$W$2,_xlfn.XLOOKUP($A13,'Master Data'!$B$3:$B$122,'Master Data'!$C$3:$W$122))-$B13)</f>
        <v>10000</v>
      </c>
      <c r="T13" s="164" cm="1">
        <f t="array" ref="T13">10^3*(_xlfn.XLOOKUP(T$8,'Master Data'!$C$2:$W$2,_xlfn.XLOOKUP($A13,'Master Data'!$B$3:$B$122,'Master Data'!$C$3:$W$122))-$B13)</f>
        <v>10000</v>
      </c>
      <c r="U13" s="164" cm="1">
        <f t="array" ref="U13">10^3*(_xlfn.XLOOKUP(U$8,'Master Data'!$C$2:$W$2,_xlfn.XLOOKUP($A13,'Master Data'!$B$3:$B$122,'Master Data'!$C$3:$W$122))-$B13)</f>
        <v>10000</v>
      </c>
      <c r="V13" s="164" cm="1">
        <f t="array" ref="V13">10^3*(_xlfn.XLOOKUP(V$8,'Master Data'!$C$2:$W$2,_xlfn.XLOOKUP($A13,'Master Data'!$B$3:$B$122,'Master Data'!$C$3:$W$122))-$B13)</f>
        <v>10000</v>
      </c>
      <c r="W13" s="164" cm="1">
        <f t="array" ref="W13">10^3*(_xlfn.XLOOKUP(W$8,'Master Data'!$C$2:$W$2,_xlfn.XLOOKUP($A13,'Master Data'!$B$3:$B$122,'Master Data'!$C$3:$W$122))-$B13)</f>
        <v>10000</v>
      </c>
      <c r="X13" s="164" cm="1">
        <f t="array" ref="X13">10^3*(_xlfn.XLOOKUP(X$8,'Master Data'!$C$2:$W$2,_xlfn.XLOOKUP($A13,'Master Data'!$B$3:$B$122,'Master Data'!$C$3:$W$122))-$B13)</f>
        <v>10000</v>
      </c>
      <c r="Y13" s="165" cm="1">
        <f t="array" ref="Y13">10^3*(_xlfn.XLOOKUP(Y$8,'Master Data'!$C$2:$W$2,_xlfn.XLOOKUP($A13,'Master Data'!$B$3:$B$122,'Master Data'!$C$3:$W$122))-$B13)</f>
        <v>10000</v>
      </c>
      <c r="Z13" s="165" t="e" cm="1">
        <f t="array" ref="Z13">10^3*(_xlfn.XLOOKUP(Z$8,'Master Data'!$C$2:$W$2,_xlfn.XLOOKUP($A13,'Master Data'!$B$3:$B$122,'Master Data'!$C$3:$W$122))-$B13)</f>
        <v>#N/A</v>
      </c>
      <c r="AA13" s="165" t="e" cm="1">
        <f t="array" ref="AA13">10^3*(_xlfn.XLOOKUP(AA$8,'Master Data'!$C$2:$W$2,_xlfn.XLOOKUP($A13,'Master Data'!$B$3:$B$122,'Master Data'!$C$3:$W$122))-$B13)</f>
        <v>#N/A</v>
      </c>
    </row>
    <row r="14" spans="1:27" s="91" customFormat="1" x14ac:dyDescent="0.25">
      <c r="A14" s="101" t="s">
        <v>78</v>
      </c>
      <c r="B14" s="155">
        <v>74</v>
      </c>
      <c r="C14" t="b">
        <f>ISNUMBER(_xlfn.XMATCH(A14,'Master Data'!$B$3:$B$122))</f>
        <v>1</v>
      </c>
      <c r="D14"/>
      <c r="E14" s="42" cm="1">
        <f t="array" ref="E14">10^3*(_xlfn.XLOOKUP(E$8,'Master Data'!$C$2:$W$2,_xlfn.XLOOKUP($A14,'Master Data'!$B$3:$B$122,'Master Data'!$C$3:$W$122))-$B14)</f>
        <v>11000</v>
      </c>
      <c r="F14" s="164" cm="1">
        <f t="array" ref="F14">10^3*(_xlfn.XLOOKUP(F$8,'Master Data'!$C$2:$W$2,_xlfn.XLOOKUP($A14,'Master Data'!$B$3:$B$122,'Master Data'!$C$3:$W$122))-$B14)</f>
        <v>11000</v>
      </c>
      <c r="G14" s="164" cm="1">
        <f t="array" ref="G14">10^3*(_xlfn.XLOOKUP(G$8,'Master Data'!$C$2:$W$2,_xlfn.XLOOKUP($A14,'Master Data'!$B$3:$B$122,'Master Data'!$C$3:$W$122))-$B14)</f>
        <v>7000</v>
      </c>
      <c r="H14" s="164" cm="1">
        <f t="array" ref="H14">10^3*(_xlfn.XLOOKUP(H$8,'Master Data'!$C$2:$W$2,_xlfn.XLOOKUP($A14,'Master Data'!$B$3:$B$122,'Master Data'!$C$3:$W$122))-$B14)</f>
        <v>7000</v>
      </c>
      <c r="I14" s="164" cm="1">
        <f t="array" ref="I14">10^3*(_xlfn.XLOOKUP(I$8,'Master Data'!$C$2:$W$2,_xlfn.XLOOKUP($A14,'Master Data'!$B$3:$B$122,'Master Data'!$C$3:$W$122))-$B14)</f>
        <v>7000</v>
      </c>
      <c r="J14" s="164" cm="1">
        <f t="array" ref="J14">10^3*(_xlfn.XLOOKUP(J$8,'Master Data'!$C$2:$W$2,_xlfn.XLOOKUP($A14,'Master Data'!$B$3:$B$122,'Master Data'!$C$3:$W$122))-$B14)</f>
        <v>7000</v>
      </c>
      <c r="K14" s="164" cm="1">
        <f t="array" ref="K14">10^3*(_xlfn.XLOOKUP(K$8,'Master Data'!$C$2:$W$2,_xlfn.XLOOKUP($A14,'Master Data'!$B$3:$B$122,'Master Data'!$C$3:$W$122))-$B14)</f>
        <v>7000</v>
      </c>
      <c r="L14" s="164" cm="1">
        <f t="array" ref="L14">10^3*(_xlfn.XLOOKUP(L$8,'Master Data'!$C$2:$W$2,_xlfn.XLOOKUP($A14,'Master Data'!$B$3:$B$122,'Master Data'!$C$3:$W$122))-$B14)</f>
        <v>7000</v>
      </c>
      <c r="M14" s="164" cm="1">
        <f t="array" ref="M14">10^3*(_xlfn.XLOOKUP(M$8,'Master Data'!$C$2:$W$2,_xlfn.XLOOKUP($A14,'Master Data'!$B$3:$B$122,'Master Data'!$C$3:$W$122))-$B14)</f>
        <v>7000</v>
      </c>
      <c r="N14" s="164" cm="1">
        <f t="array" ref="N14">10^3*(_xlfn.XLOOKUP(N$8,'Master Data'!$C$2:$W$2,_xlfn.XLOOKUP($A14,'Master Data'!$B$3:$B$122,'Master Data'!$C$3:$W$122))-$B14)</f>
        <v>7000</v>
      </c>
      <c r="O14" s="164" cm="1">
        <f t="array" ref="O14">10^3*(_xlfn.XLOOKUP(O$8,'Master Data'!$C$2:$W$2,_xlfn.XLOOKUP($A14,'Master Data'!$B$3:$B$122,'Master Data'!$C$3:$W$122))-$B14)</f>
        <v>7000</v>
      </c>
      <c r="P14" s="164" cm="1">
        <f t="array" ref="P14">10^3*(_xlfn.XLOOKUP(P$8,'Master Data'!$C$2:$W$2,_xlfn.XLOOKUP($A14,'Master Data'!$B$3:$B$122,'Master Data'!$C$3:$W$122))-$B14)</f>
        <v>11000</v>
      </c>
      <c r="Q14" s="164" cm="1">
        <f t="array" ref="Q14">10^3*(_xlfn.XLOOKUP(Q$8,'Master Data'!$C$2:$W$2,_xlfn.XLOOKUP($A14,'Master Data'!$B$3:$B$122,'Master Data'!$C$3:$W$122))-$B14)</f>
        <v>11000</v>
      </c>
      <c r="R14" s="164" cm="1">
        <f t="array" ref="R14">10^3*(_xlfn.XLOOKUP(R$8,'Master Data'!$C$2:$W$2,_xlfn.XLOOKUP($A14,'Master Data'!$B$3:$B$122,'Master Data'!$C$3:$W$122))-$B14)</f>
        <v>11000</v>
      </c>
      <c r="S14" s="164" cm="1">
        <f t="array" ref="S14">10^3*(_xlfn.XLOOKUP(S$8,'Master Data'!$C$2:$W$2,_xlfn.XLOOKUP($A14,'Master Data'!$B$3:$B$122,'Master Data'!$C$3:$W$122))-$B14)</f>
        <v>7000</v>
      </c>
      <c r="T14" s="164" cm="1">
        <f t="array" ref="T14">10^3*(_xlfn.XLOOKUP(T$8,'Master Data'!$C$2:$W$2,_xlfn.XLOOKUP($A14,'Master Data'!$B$3:$B$122,'Master Data'!$C$3:$W$122))-$B14)</f>
        <v>11000</v>
      </c>
      <c r="U14" s="164" cm="1">
        <f t="array" ref="U14">10^3*(_xlfn.XLOOKUP(U$8,'Master Data'!$C$2:$W$2,_xlfn.XLOOKUP($A14,'Master Data'!$B$3:$B$122,'Master Data'!$C$3:$W$122))-$B14)</f>
        <v>11000</v>
      </c>
      <c r="V14" s="164" cm="1">
        <f t="array" ref="V14">10^3*(_xlfn.XLOOKUP(V$8,'Master Data'!$C$2:$W$2,_xlfn.XLOOKUP($A14,'Master Data'!$B$3:$B$122,'Master Data'!$C$3:$W$122))-$B14)</f>
        <v>11000</v>
      </c>
      <c r="W14" s="164" cm="1">
        <f t="array" ref="W14">10^3*(_xlfn.XLOOKUP(W$8,'Master Data'!$C$2:$W$2,_xlfn.XLOOKUP($A14,'Master Data'!$B$3:$B$122,'Master Data'!$C$3:$W$122))-$B14)</f>
        <v>7000</v>
      </c>
      <c r="X14" s="164" cm="1">
        <f t="array" ref="X14">10^3*(_xlfn.XLOOKUP(X$8,'Master Data'!$C$2:$W$2,_xlfn.XLOOKUP($A14,'Master Data'!$B$3:$B$122,'Master Data'!$C$3:$W$122))-$B14)</f>
        <v>7000</v>
      </c>
      <c r="Y14" s="165" cm="1">
        <f t="array" ref="Y14">10^3*(_xlfn.XLOOKUP(Y$8,'Master Data'!$C$2:$W$2,_xlfn.XLOOKUP($A14,'Master Data'!$B$3:$B$122,'Master Data'!$C$3:$W$122))-$B14)</f>
        <v>7000</v>
      </c>
      <c r="Z14" s="165" t="e" cm="1">
        <f t="array" ref="Z14">10^3*(_xlfn.XLOOKUP(Z$8,'Master Data'!$C$2:$W$2,_xlfn.XLOOKUP($A14,'Master Data'!$B$3:$B$122,'Master Data'!$C$3:$W$122))-$B14)</f>
        <v>#N/A</v>
      </c>
      <c r="AA14" s="165" t="e" cm="1">
        <f t="array" ref="AA14">10^3*(_xlfn.XLOOKUP(AA$8,'Master Data'!$C$2:$W$2,_xlfn.XLOOKUP($A14,'Master Data'!$B$3:$B$122,'Master Data'!$C$3:$W$122))-$B14)</f>
        <v>#N/A</v>
      </c>
    </row>
    <row r="15" spans="1:27" s="91" customFormat="1" x14ac:dyDescent="0.25">
      <c r="A15" s="101" t="s">
        <v>57</v>
      </c>
      <c r="B15" s="155">
        <v>74</v>
      </c>
      <c r="C15" t="b">
        <f>ISNUMBER(_xlfn.XMATCH(A15,'Master Data'!$B$3:$B$122))</f>
        <v>1</v>
      </c>
      <c r="D15"/>
      <c r="E15" s="42" cm="1">
        <f t="array" ref="E15">10^3*(_xlfn.XLOOKUP(E$8,'Master Data'!$C$2:$W$2,_xlfn.XLOOKUP($A15,'Master Data'!$B$3:$B$122,'Master Data'!$C$3:$W$122))-$B15)</f>
        <v>11000</v>
      </c>
      <c r="F15" s="164" cm="1">
        <f t="array" ref="F15">10^3*(_xlfn.XLOOKUP(F$8,'Master Data'!$C$2:$W$2,_xlfn.XLOOKUP($A15,'Master Data'!$B$3:$B$122,'Master Data'!$C$3:$W$122))-$B15)</f>
        <v>11000</v>
      </c>
      <c r="G15" s="164" cm="1">
        <f t="array" ref="G15">10^3*(_xlfn.XLOOKUP(G$8,'Master Data'!$C$2:$W$2,_xlfn.XLOOKUP($A15,'Master Data'!$B$3:$B$122,'Master Data'!$C$3:$W$122))-$B15)</f>
        <v>7000</v>
      </c>
      <c r="H15" s="164" cm="1">
        <f t="array" ref="H15">10^3*(_xlfn.XLOOKUP(H$8,'Master Data'!$C$2:$W$2,_xlfn.XLOOKUP($A15,'Master Data'!$B$3:$B$122,'Master Data'!$C$3:$W$122))-$B15)</f>
        <v>7000</v>
      </c>
      <c r="I15" s="164" cm="1">
        <f t="array" ref="I15">10^3*(_xlfn.XLOOKUP(I$8,'Master Data'!$C$2:$W$2,_xlfn.XLOOKUP($A15,'Master Data'!$B$3:$B$122,'Master Data'!$C$3:$W$122))-$B15)</f>
        <v>7000</v>
      </c>
      <c r="J15" s="164" cm="1">
        <f t="array" ref="J15">10^3*(_xlfn.XLOOKUP(J$8,'Master Data'!$C$2:$W$2,_xlfn.XLOOKUP($A15,'Master Data'!$B$3:$B$122,'Master Data'!$C$3:$W$122))-$B15)</f>
        <v>7000</v>
      </c>
      <c r="K15" s="164" cm="1">
        <f t="array" ref="K15">10^3*(_xlfn.XLOOKUP(K$8,'Master Data'!$C$2:$W$2,_xlfn.XLOOKUP($A15,'Master Data'!$B$3:$B$122,'Master Data'!$C$3:$W$122))-$B15)</f>
        <v>7000</v>
      </c>
      <c r="L15" s="164" cm="1">
        <f t="array" ref="L15">10^3*(_xlfn.XLOOKUP(L$8,'Master Data'!$C$2:$W$2,_xlfn.XLOOKUP($A15,'Master Data'!$B$3:$B$122,'Master Data'!$C$3:$W$122))-$B15)</f>
        <v>7000</v>
      </c>
      <c r="M15" s="164" cm="1">
        <f t="array" ref="M15">10^3*(_xlfn.XLOOKUP(M$8,'Master Data'!$C$2:$W$2,_xlfn.XLOOKUP($A15,'Master Data'!$B$3:$B$122,'Master Data'!$C$3:$W$122))-$B15)</f>
        <v>7000</v>
      </c>
      <c r="N15" s="164" cm="1">
        <f t="array" ref="N15">10^3*(_xlfn.XLOOKUP(N$8,'Master Data'!$C$2:$W$2,_xlfn.XLOOKUP($A15,'Master Data'!$B$3:$B$122,'Master Data'!$C$3:$W$122))-$B15)</f>
        <v>7000</v>
      </c>
      <c r="O15" s="164" cm="1">
        <f t="array" ref="O15">10^3*(_xlfn.XLOOKUP(O$8,'Master Data'!$C$2:$W$2,_xlfn.XLOOKUP($A15,'Master Data'!$B$3:$B$122,'Master Data'!$C$3:$W$122))-$B15)</f>
        <v>7000</v>
      </c>
      <c r="P15" s="164" cm="1">
        <f t="array" ref="P15">10^3*(_xlfn.XLOOKUP(P$8,'Master Data'!$C$2:$W$2,_xlfn.XLOOKUP($A15,'Master Data'!$B$3:$B$122,'Master Data'!$C$3:$W$122))-$B15)</f>
        <v>11000</v>
      </c>
      <c r="Q15" s="164" cm="1">
        <f t="array" ref="Q15">10^3*(_xlfn.XLOOKUP(Q$8,'Master Data'!$C$2:$W$2,_xlfn.XLOOKUP($A15,'Master Data'!$B$3:$B$122,'Master Data'!$C$3:$W$122))-$B15)</f>
        <v>11000</v>
      </c>
      <c r="R15" s="164" cm="1">
        <f t="array" ref="R15">10^3*(_xlfn.XLOOKUP(R$8,'Master Data'!$C$2:$W$2,_xlfn.XLOOKUP($A15,'Master Data'!$B$3:$B$122,'Master Data'!$C$3:$W$122))-$B15)</f>
        <v>11000</v>
      </c>
      <c r="S15" s="164" cm="1">
        <f t="array" ref="S15">10^3*(_xlfn.XLOOKUP(S$8,'Master Data'!$C$2:$W$2,_xlfn.XLOOKUP($A15,'Master Data'!$B$3:$B$122,'Master Data'!$C$3:$W$122))-$B15)</f>
        <v>7000</v>
      </c>
      <c r="T15" s="164" cm="1">
        <f t="array" ref="T15">10^3*(_xlfn.XLOOKUP(T$8,'Master Data'!$C$2:$W$2,_xlfn.XLOOKUP($A15,'Master Data'!$B$3:$B$122,'Master Data'!$C$3:$W$122))-$B15)</f>
        <v>11000</v>
      </c>
      <c r="U15" s="164" cm="1">
        <f t="array" ref="U15">10^3*(_xlfn.XLOOKUP(U$8,'Master Data'!$C$2:$W$2,_xlfn.XLOOKUP($A15,'Master Data'!$B$3:$B$122,'Master Data'!$C$3:$W$122))-$B15)</f>
        <v>11000</v>
      </c>
      <c r="V15" s="164" cm="1">
        <f t="array" ref="V15">10^3*(_xlfn.XLOOKUP(V$8,'Master Data'!$C$2:$W$2,_xlfn.XLOOKUP($A15,'Master Data'!$B$3:$B$122,'Master Data'!$C$3:$W$122))-$B15)</f>
        <v>11000</v>
      </c>
      <c r="W15" s="164" cm="1">
        <f t="array" ref="W15">10^3*(_xlfn.XLOOKUP(W$8,'Master Data'!$C$2:$W$2,_xlfn.XLOOKUP($A15,'Master Data'!$B$3:$B$122,'Master Data'!$C$3:$W$122))-$B15)</f>
        <v>7000</v>
      </c>
      <c r="X15" s="164" cm="1">
        <f t="array" ref="X15">10^3*(_xlfn.XLOOKUP(X$8,'Master Data'!$C$2:$W$2,_xlfn.XLOOKUP($A15,'Master Data'!$B$3:$B$122,'Master Data'!$C$3:$W$122))-$B15)</f>
        <v>7000</v>
      </c>
      <c r="Y15" s="165" cm="1">
        <f t="array" ref="Y15">10^3*(_xlfn.XLOOKUP(Y$8,'Master Data'!$C$2:$W$2,_xlfn.XLOOKUP($A15,'Master Data'!$B$3:$B$122,'Master Data'!$C$3:$W$122))-$B15)</f>
        <v>7000</v>
      </c>
      <c r="Z15" s="165" t="e" cm="1">
        <f t="array" ref="Z15">10^3*(_xlfn.XLOOKUP(Z$8,'Master Data'!$C$2:$W$2,_xlfn.XLOOKUP($A15,'Master Data'!$B$3:$B$122,'Master Data'!$C$3:$W$122))-$B15)</f>
        <v>#N/A</v>
      </c>
      <c r="AA15" s="165" t="e" cm="1">
        <f t="array" ref="AA15">10^3*(_xlfn.XLOOKUP(AA$8,'Master Data'!$C$2:$W$2,_xlfn.XLOOKUP($A15,'Master Data'!$B$3:$B$122,'Master Data'!$C$3:$W$122))-$B15)</f>
        <v>#N/A</v>
      </c>
    </row>
    <row r="16" spans="1:27" x14ac:dyDescent="0.25">
      <c r="A16" s="101" t="s">
        <v>79</v>
      </c>
      <c r="B16" s="155">
        <v>70</v>
      </c>
      <c r="C16" t="b">
        <f>ISNUMBER(_xlfn.XMATCH(A16,'Master Data'!$B$3:$B$122))</f>
        <v>1</v>
      </c>
      <c r="E16" s="81" cm="1">
        <f t="array" ref="E16">10^3*(_xlfn.XLOOKUP(E$8,'Master Data'!$C$2:$W$2,_xlfn.XLOOKUP($A16,'Master Data'!$B$3:$B$122,'Master Data'!$C$3:$W$122))-$B16)</f>
        <v>10000</v>
      </c>
      <c r="F16" s="82" cm="1">
        <f t="array" ref="F16">10^3*(_xlfn.XLOOKUP(F$8,'Master Data'!$C$2:$W$2,_xlfn.XLOOKUP($A16,'Master Data'!$B$3:$B$122,'Master Data'!$C$3:$W$122))-$B16)</f>
        <v>10000</v>
      </c>
      <c r="G16" s="82" cm="1">
        <f t="array" ref="G16">10^3*(_xlfn.XLOOKUP(G$8,'Master Data'!$C$2:$W$2,_xlfn.XLOOKUP($A16,'Master Data'!$B$3:$B$122,'Master Data'!$C$3:$W$122))-$B16)</f>
        <v>10000</v>
      </c>
      <c r="H16" s="82" cm="1">
        <f t="array" ref="H16">10^3*(_xlfn.XLOOKUP(H$8,'Master Data'!$C$2:$W$2,_xlfn.XLOOKUP($A16,'Master Data'!$B$3:$B$122,'Master Data'!$C$3:$W$122))-$B16)</f>
        <v>10000</v>
      </c>
      <c r="I16" s="82" cm="1">
        <f t="array" ref="I16">10^3*(_xlfn.XLOOKUP(I$8,'Master Data'!$C$2:$W$2,_xlfn.XLOOKUP($A16,'Master Data'!$B$3:$B$122,'Master Data'!$C$3:$W$122))-$B16)</f>
        <v>10000</v>
      </c>
      <c r="J16" s="82" cm="1">
        <f t="array" ref="J16">10^3*(_xlfn.XLOOKUP(J$8,'Master Data'!$C$2:$W$2,_xlfn.XLOOKUP($A16,'Master Data'!$B$3:$B$122,'Master Data'!$C$3:$W$122))-$B16)</f>
        <v>10000</v>
      </c>
      <c r="K16" s="82" cm="1">
        <f t="array" ref="K16">10^3*(_xlfn.XLOOKUP(K$8,'Master Data'!$C$2:$W$2,_xlfn.XLOOKUP($A16,'Master Data'!$B$3:$B$122,'Master Data'!$C$3:$W$122))-$B16)</f>
        <v>10000</v>
      </c>
      <c r="L16" s="82" cm="1">
        <f t="array" ref="L16">10^3*(_xlfn.XLOOKUP(L$8,'Master Data'!$C$2:$W$2,_xlfn.XLOOKUP($A16,'Master Data'!$B$3:$B$122,'Master Data'!$C$3:$W$122))-$B16)</f>
        <v>10000</v>
      </c>
      <c r="M16" s="82" cm="1">
        <f t="array" ref="M16">10^3*(_xlfn.XLOOKUP(M$8,'Master Data'!$C$2:$W$2,_xlfn.XLOOKUP($A16,'Master Data'!$B$3:$B$122,'Master Data'!$C$3:$W$122))-$B16)</f>
        <v>10000</v>
      </c>
      <c r="N16" s="82" cm="1">
        <f t="array" ref="N16">10^3*(_xlfn.XLOOKUP(N$8,'Master Data'!$C$2:$W$2,_xlfn.XLOOKUP($A16,'Master Data'!$B$3:$B$122,'Master Data'!$C$3:$W$122))-$B16)</f>
        <v>10000</v>
      </c>
      <c r="O16" s="82" cm="1">
        <f t="array" ref="O16">10^3*(_xlfn.XLOOKUP(O$8,'Master Data'!$C$2:$W$2,_xlfn.XLOOKUP($A16,'Master Data'!$B$3:$B$122,'Master Data'!$C$3:$W$122))-$B16)</f>
        <v>10000</v>
      </c>
      <c r="P16" s="82" cm="1">
        <f t="array" ref="P16">10^3*(_xlfn.XLOOKUP(P$8,'Master Data'!$C$2:$W$2,_xlfn.XLOOKUP($A16,'Master Data'!$B$3:$B$122,'Master Data'!$C$3:$W$122))-$B16)</f>
        <v>10000</v>
      </c>
      <c r="Q16" s="82" cm="1">
        <f t="array" ref="Q16">10^3*(_xlfn.XLOOKUP(Q$8,'Master Data'!$C$2:$W$2,_xlfn.XLOOKUP($A16,'Master Data'!$B$3:$B$122,'Master Data'!$C$3:$W$122))-$B16)</f>
        <v>10000</v>
      </c>
      <c r="R16" s="82" cm="1">
        <f t="array" ref="R16">10^3*(_xlfn.XLOOKUP(R$8,'Master Data'!$C$2:$W$2,_xlfn.XLOOKUP($A16,'Master Data'!$B$3:$B$122,'Master Data'!$C$3:$W$122))-$B16)</f>
        <v>10000</v>
      </c>
      <c r="S16" s="82" cm="1">
        <f t="array" ref="S16">10^3*(_xlfn.XLOOKUP(S$8,'Master Data'!$C$2:$W$2,_xlfn.XLOOKUP($A16,'Master Data'!$B$3:$B$122,'Master Data'!$C$3:$W$122))-$B16)</f>
        <v>10000</v>
      </c>
      <c r="T16" s="82" cm="1">
        <f t="array" ref="T16">10^3*(_xlfn.XLOOKUP(T$8,'Master Data'!$C$2:$W$2,_xlfn.XLOOKUP($A16,'Master Data'!$B$3:$B$122,'Master Data'!$C$3:$W$122))-$B16)</f>
        <v>10000</v>
      </c>
      <c r="U16" s="82" cm="1">
        <f t="array" ref="U16">10^3*(_xlfn.XLOOKUP(U$8,'Master Data'!$C$2:$W$2,_xlfn.XLOOKUP($A16,'Master Data'!$B$3:$B$122,'Master Data'!$C$3:$W$122))-$B16)</f>
        <v>10000</v>
      </c>
      <c r="V16" s="82" cm="1">
        <f t="array" ref="V16">10^3*(_xlfn.XLOOKUP(V$8,'Master Data'!$C$2:$W$2,_xlfn.XLOOKUP($A16,'Master Data'!$B$3:$B$122,'Master Data'!$C$3:$W$122))-$B16)</f>
        <v>10000</v>
      </c>
      <c r="W16" s="82" cm="1">
        <f t="array" ref="W16">10^3*(_xlfn.XLOOKUP(W$8,'Master Data'!$C$2:$W$2,_xlfn.XLOOKUP($A16,'Master Data'!$B$3:$B$122,'Master Data'!$C$3:$W$122))-$B16)</f>
        <v>10000</v>
      </c>
      <c r="X16" s="82" cm="1">
        <f t="array" ref="X16">10^3*(_xlfn.XLOOKUP(X$8,'Master Data'!$C$2:$W$2,_xlfn.XLOOKUP($A16,'Master Data'!$B$3:$B$122,'Master Data'!$C$3:$W$122))-$B16)</f>
        <v>10000</v>
      </c>
      <c r="Y16" s="84" cm="1">
        <f t="array" ref="Y16">10^3*(_xlfn.XLOOKUP(Y$8,'Master Data'!$C$2:$W$2,_xlfn.XLOOKUP($A16,'Master Data'!$B$3:$B$122,'Master Data'!$C$3:$W$122))-$B16)</f>
        <v>10000</v>
      </c>
      <c r="Z16" s="84" t="e" cm="1">
        <f t="array" ref="Z16">10^3*(_xlfn.XLOOKUP(Z$8,'Master Data'!$C$2:$W$2,_xlfn.XLOOKUP($A16,'Master Data'!$B$3:$B$122,'Master Data'!$C$3:$W$122))-$B16)</f>
        <v>#N/A</v>
      </c>
      <c r="AA16" s="84" t="e" cm="1">
        <f t="array" ref="AA16">10^3*(_xlfn.XLOOKUP(AA$8,'Master Data'!$C$2:$W$2,_xlfn.XLOOKUP($A16,'Master Data'!$B$3:$B$122,'Master Data'!$C$3:$W$122))-$B16)</f>
        <v>#N/A</v>
      </c>
    </row>
    <row r="17" spans="1:27" x14ac:dyDescent="0.25">
      <c r="A17" s="101" t="s">
        <v>80</v>
      </c>
      <c r="B17" s="155">
        <v>74</v>
      </c>
      <c r="C17" t="b">
        <f>ISNUMBER(_xlfn.XMATCH(A17,'Master Data'!$B$3:$B$122))</f>
        <v>1</v>
      </c>
      <c r="E17" s="85" cm="1">
        <f t="array" ref="E17">10^3*(_xlfn.XLOOKUP(E$8,'Master Data'!$C$2:$W$2,_xlfn.XLOOKUP($A17,'Master Data'!$B$3:$B$122,'Master Data'!$C$3:$W$122))-$B17)</f>
        <v>11000</v>
      </c>
      <c r="F17" s="86" cm="1">
        <f t="array" ref="F17">10^3*(_xlfn.XLOOKUP(F$8,'Master Data'!$C$2:$W$2,_xlfn.XLOOKUP($A17,'Master Data'!$B$3:$B$122,'Master Data'!$C$3:$W$122))-$B17)</f>
        <v>11000</v>
      </c>
      <c r="G17" s="86" cm="1">
        <f t="array" ref="G17">10^3*(_xlfn.XLOOKUP(G$8,'Master Data'!$C$2:$W$2,_xlfn.XLOOKUP($A17,'Master Data'!$B$3:$B$122,'Master Data'!$C$3:$W$122))-$B17)</f>
        <v>7000</v>
      </c>
      <c r="H17" s="86" cm="1">
        <f t="array" ref="H17">10^3*(_xlfn.XLOOKUP(H$8,'Master Data'!$C$2:$W$2,_xlfn.XLOOKUP($A17,'Master Data'!$B$3:$B$122,'Master Data'!$C$3:$W$122))-$B17)</f>
        <v>7000</v>
      </c>
      <c r="I17" s="86" cm="1">
        <f t="array" ref="I17">10^3*(_xlfn.XLOOKUP(I$8,'Master Data'!$C$2:$W$2,_xlfn.XLOOKUP($A17,'Master Data'!$B$3:$B$122,'Master Data'!$C$3:$W$122))-$B17)</f>
        <v>7000</v>
      </c>
      <c r="J17" s="86" cm="1">
        <f t="array" ref="J17">10^3*(_xlfn.XLOOKUP(J$8,'Master Data'!$C$2:$W$2,_xlfn.XLOOKUP($A17,'Master Data'!$B$3:$B$122,'Master Data'!$C$3:$W$122))-$B17)</f>
        <v>7000</v>
      </c>
      <c r="K17" s="86" cm="1">
        <f t="array" ref="K17">10^3*(_xlfn.XLOOKUP(K$8,'Master Data'!$C$2:$W$2,_xlfn.XLOOKUP($A17,'Master Data'!$B$3:$B$122,'Master Data'!$C$3:$W$122))-$B17)</f>
        <v>7000</v>
      </c>
      <c r="L17" s="86" cm="1">
        <f t="array" ref="L17">10^3*(_xlfn.XLOOKUP(L$8,'Master Data'!$C$2:$W$2,_xlfn.XLOOKUP($A17,'Master Data'!$B$3:$B$122,'Master Data'!$C$3:$W$122))-$B17)</f>
        <v>7000</v>
      </c>
      <c r="M17" s="86" cm="1">
        <f t="array" ref="M17">10^3*(_xlfn.XLOOKUP(M$8,'Master Data'!$C$2:$W$2,_xlfn.XLOOKUP($A17,'Master Data'!$B$3:$B$122,'Master Data'!$C$3:$W$122))-$B17)</f>
        <v>7000</v>
      </c>
      <c r="N17" s="86" cm="1">
        <f t="array" ref="N17">10^3*(_xlfn.XLOOKUP(N$8,'Master Data'!$C$2:$W$2,_xlfn.XLOOKUP($A17,'Master Data'!$B$3:$B$122,'Master Data'!$C$3:$W$122))-$B17)</f>
        <v>7000</v>
      </c>
      <c r="O17" s="86" cm="1">
        <f t="array" ref="O17">10^3*(_xlfn.XLOOKUP(O$8,'Master Data'!$C$2:$W$2,_xlfn.XLOOKUP($A17,'Master Data'!$B$3:$B$122,'Master Data'!$C$3:$W$122))-$B17)</f>
        <v>7000</v>
      </c>
      <c r="P17" s="86" cm="1">
        <f t="array" ref="P17">10^3*(_xlfn.XLOOKUP(P$8,'Master Data'!$C$2:$W$2,_xlfn.XLOOKUP($A17,'Master Data'!$B$3:$B$122,'Master Data'!$C$3:$W$122))-$B17)</f>
        <v>11000</v>
      </c>
      <c r="Q17" s="86" cm="1">
        <f t="array" ref="Q17">10^3*(_xlfn.XLOOKUP(Q$8,'Master Data'!$C$2:$W$2,_xlfn.XLOOKUP($A17,'Master Data'!$B$3:$B$122,'Master Data'!$C$3:$W$122))-$B17)</f>
        <v>11000</v>
      </c>
      <c r="R17" s="86" cm="1">
        <f t="array" ref="R17">10^3*(_xlfn.XLOOKUP(R$8,'Master Data'!$C$2:$W$2,_xlfn.XLOOKUP($A17,'Master Data'!$B$3:$B$122,'Master Data'!$C$3:$W$122))-$B17)</f>
        <v>11000</v>
      </c>
      <c r="S17" s="86" cm="1">
        <f t="array" ref="S17">10^3*(_xlfn.XLOOKUP(S$8,'Master Data'!$C$2:$W$2,_xlfn.XLOOKUP($A17,'Master Data'!$B$3:$B$122,'Master Data'!$C$3:$W$122))-$B17)</f>
        <v>7000</v>
      </c>
      <c r="T17" s="86" cm="1">
        <f t="array" ref="T17">10^3*(_xlfn.XLOOKUP(T$8,'Master Data'!$C$2:$W$2,_xlfn.XLOOKUP($A17,'Master Data'!$B$3:$B$122,'Master Data'!$C$3:$W$122))-$B17)</f>
        <v>11000</v>
      </c>
      <c r="U17" s="86" cm="1">
        <f t="array" ref="U17">10^3*(_xlfn.XLOOKUP(U$8,'Master Data'!$C$2:$W$2,_xlfn.XLOOKUP($A17,'Master Data'!$B$3:$B$122,'Master Data'!$C$3:$W$122))-$B17)</f>
        <v>11000</v>
      </c>
      <c r="V17" s="86" cm="1">
        <f t="array" ref="V17">10^3*(_xlfn.XLOOKUP(V$8,'Master Data'!$C$2:$W$2,_xlfn.XLOOKUP($A17,'Master Data'!$B$3:$B$122,'Master Data'!$C$3:$W$122))-$B17)</f>
        <v>11000</v>
      </c>
      <c r="W17" s="86" cm="1">
        <f t="array" ref="W17">10^3*(_xlfn.XLOOKUP(W$8,'Master Data'!$C$2:$W$2,_xlfn.XLOOKUP($A17,'Master Data'!$B$3:$B$122,'Master Data'!$C$3:$W$122))-$B17)</f>
        <v>7000</v>
      </c>
      <c r="X17" s="86" cm="1">
        <f t="array" ref="X17">10^3*(_xlfn.XLOOKUP(X$8,'Master Data'!$C$2:$W$2,_xlfn.XLOOKUP($A17,'Master Data'!$B$3:$B$122,'Master Data'!$C$3:$W$122))-$B17)</f>
        <v>7000</v>
      </c>
      <c r="Y17" s="87" cm="1">
        <f t="array" ref="Y17">10^3*(_xlfn.XLOOKUP(Y$8,'Master Data'!$C$2:$W$2,_xlfn.XLOOKUP($A17,'Master Data'!$B$3:$B$122,'Master Data'!$C$3:$W$122))-$B17)</f>
        <v>7000</v>
      </c>
      <c r="Z17" s="87" t="e" cm="1">
        <f t="array" ref="Z17">10^3*(_xlfn.XLOOKUP(Z$8,'Master Data'!$C$2:$W$2,_xlfn.XLOOKUP($A17,'Master Data'!$B$3:$B$122,'Master Data'!$C$3:$W$122))-$B17)</f>
        <v>#N/A</v>
      </c>
      <c r="AA17" s="87" t="e" cm="1">
        <f t="array" ref="AA17">10^3*(_xlfn.XLOOKUP(AA$8,'Master Data'!$C$2:$W$2,_xlfn.XLOOKUP($A17,'Master Data'!$B$3:$B$122,'Master Data'!$C$3:$W$122))-$B17)</f>
        <v>#N/A</v>
      </c>
    </row>
    <row r="18" spans="1:27" x14ac:dyDescent="0.25">
      <c r="A18" s="101" t="s">
        <v>81</v>
      </c>
      <c r="B18" s="155">
        <v>70</v>
      </c>
      <c r="C18" t="b">
        <f>ISNUMBER(_xlfn.XMATCH(A18,'Master Data'!$B$3:$B$122))</f>
        <v>1</v>
      </c>
      <c r="E18" s="85" cm="1">
        <f t="array" ref="E18">10^3*(_xlfn.XLOOKUP(E$8,'Master Data'!$C$2:$W$2,_xlfn.XLOOKUP($A18,'Master Data'!$B$3:$B$122,'Master Data'!$C$3:$W$122))-$B18)</f>
        <v>10000</v>
      </c>
      <c r="F18" s="86" cm="1">
        <f t="array" ref="F18">10^3*(_xlfn.XLOOKUP(F$8,'Master Data'!$C$2:$W$2,_xlfn.XLOOKUP($A18,'Master Data'!$B$3:$B$122,'Master Data'!$C$3:$W$122))-$B18)</f>
        <v>10000</v>
      </c>
      <c r="G18" s="86" cm="1">
        <f t="array" ref="G18">10^3*(_xlfn.XLOOKUP(G$8,'Master Data'!$C$2:$W$2,_xlfn.XLOOKUP($A18,'Master Data'!$B$3:$B$122,'Master Data'!$C$3:$W$122))-$B18)</f>
        <v>8000</v>
      </c>
      <c r="H18" s="86" cm="1">
        <f t="array" ref="H18">10^3*(_xlfn.XLOOKUP(H$8,'Master Data'!$C$2:$W$2,_xlfn.XLOOKUP($A18,'Master Data'!$B$3:$B$122,'Master Data'!$C$3:$W$122))-$B18)</f>
        <v>8000</v>
      </c>
      <c r="I18" s="86" cm="1">
        <f t="array" ref="I18">10^3*(_xlfn.XLOOKUP(I$8,'Master Data'!$C$2:$W$2,_xlfn.XLOOKUP($A18,'Master Data'!$B$3:$B$122,'Master Data'!$C$3:$W$122))-$B18)</f>
        <v>8000</v>
      </c>
      <c r="J18" s="86" cm="1">
        <f t="array" ref="J18">10^3*(_xlfn.XLOOKUP(J$8,'Master Data'!$C$2:$W$2,_xlfn.XLOOKUP($A18,'Master Data'!$B$3:$B$122,'Master Data'!$C$3:$W$122))-$B18)</f>
        <v>8000</v>
      </c>
      <c r="K18" s="86" cm="1">
        <f t="array" ref="K18">10^3*(_xlfn.XLOOKUP(K$8,'Master Data'!$C$2:$W$2,_xlfn.XLOOKUP($A18,'Master Data'!$B$3:$B$122,'Master Data'!$C$3:$W$122))-$B18)</f>
        <v>8000</v>
      </c>
      <c r="L18" s="86" cm="1">
        <f t="array" ref="L18">10^3*(_xlfn.XLOOKUP(L$8,'Master Data'!$C$2:$W$2,_xlfn.XLOOKUP($A18,'Master Data'!$B$3:$B$122,'Master Data'!$C$3:$W$122))-$B18)</f>
        <v>8000</v>
      </c>
      <c r="M18" s="86" cm="1">
        <f t="array" ref="M18">10^3*(_xlfn.XLOOKUP(M$8,'Master Data'!$C$2:$W$2,_xlfn.XLOOKUP($A18,'Master Data'!$B$3:$B$122,'Master Data'!$C$3:$W$122))-$B18)</f>
        <v>8000</v>
      </c>
      <c r="N18" s="86" cm="1">
        <f t="array" ref="N18">10^3*(_xlfn.XLOOKUP(N$8,'Master Data'!$C$2:$W$2,_xlfn.XLOOKUP($A18,'Master Data'!$B$3:$B$122,'Master Data'!$C$3:$W$122))-$B18)</f>
        <v>8000</v>
      </c>
      <c r="O18" s="86" cm="1">
        <f t="array" ref="O18">10^3*(_xlfn.XLOOKUP(O$8,'Master Data'!$C$2:$W$2,_xlfn.XLOOKUP($A18,'Master Data'!$B$3:$B$122,'Master Data'!$C$3:$W$122))-$B18)</f>
        <v>8000</v>
      </c>
      <c r="P18" s="86" cm="1">
        <f t="array" ref="P18">10^3*(_xlfn.XLOOKUP(P$8,'Master Data'!$C$2:$W$2,_xlfn.XLOOKUP($A18,'Master Data'!$B$3:$B$122,'Master Data'!$C$3:$W$122))-$B18)</f>
        <v>10000</v>
      </c>
      <c r="Q18" s="86" cm="1">
        <f t="array" ref="Q18">10^3*(_xlfn.XLOOKUP(Q$8,'Master Data'!$C$2:$W$2,_xlfn.XLOOKUP($A18,'Master Data'!$B$3:$B$122,'Master Data'!$C$3:$W$122))-$B18)</f>
        <v>10000</v>
      </c>
      <c r="R18" s="86" cm="1">
        <f t="array" ref="R18">10^3*(_xlfn.XLOOKUP(R$8,'Master Data'!$C$2:$W$2,_xlfn.XLOOKUP($A18,'Master Data'!$B$3:$B$122,'Master Data'!$C$3:$W$122))-$B18)</f>
        <v>10000</v>
      </c>
      <c r="S18" s="86" cm="1">
        <f t="array" ref="S18">10^3*(_xlfn.XLOOKUP(S$8,'Master Data'!$C$2:$W$2,_xlfn.XLOOKUP($A18,'Master Data'!$B$3:$B$122,'Master Data'!$C$3:$W$122))-$B18)</f>
        <v>8000</v>
      </c>
      <c r="T18" s="86" cm="1">
        <f t="array" ref="T18">10^3*(_xlfn.XLOOKUP(T$8,'Master Data'!$C$2:$W$2,_xlfn.XLOOKUP($A18,'Master Data'!$B$3:$B$122,'Master Data'!$C$3:$W$122))-$B18)</f>
        <v>10000</v>
      </c>
      <c r="U18" s="86" cm="1">
        <f t="array" ref="U18">10^3*(_xlfn.XLOOKUP(U$8,'Master Data'!$C$2:$W$2,_xlfn.XLOOKUP($A18,'Master Data'!$B$3:$B$122,'Master Data'!$C$3:$W$122))-$B18)</f>
        <v>10000</v>
      </c>
      <c r="V18" s="86" cm="1">
        <f t="array" ref="V18">10^3*(_xlfn.XLOOKUP(V$8,'Master Data'!$C$2:$W$2,_xlfn.XLOOKUP($A18,'Master Data'!$B$3:$B$122,'Master Data'!$C$3:$W$122))-$B18)</f>
        <v>10000</v>
      </c>
      <c r="W18" s="86" cm="1">
        <f t="array" ref="W18">10^3*(_xlfn.XLOOKUP(W$8,'Master Data'!$C$2:$W$2,_xlfn.XLOOKUP($A18,'Master Data'!$B$3:$B$122,'Master Data'!$C$3:$W$122))-$B18)</f>
        <v>8000</v>
      </c>
      <c r="X18" s="86" cm="1">
        <f t="array" ref="X18">10^3*(_xlfn.XLOOKUP(X$8,'Master Data'!$C$2:$W$2,_xlfn.XLOOKUP($A18,'Master Data'!$B$3:$B$122,'Master Data'!$C$3:$W$122))-$B18)</f>
        <v>8000</v>
      </c>
      <c r="Y18" s="87" cm="1">
        <f t="array" ref="Y18">10^3*(_xlfn.XLOOKUP(Y$8,'Master Data'!$C$2:$W$2,_xlfn.XLOOKUP($A18,'Master Data'!$B$3:$B$122,'Master Data'!$C$3:$W$122))-$B18)</f>
        <v>8000</v>
      </c>
      <c r="Z18" s="87" t="e" cm="1">
        <f t="array" ref="Z18">10^3*(_xlfn.XLOOKUP(Z$8,'Master Data'!$C$2:$W$2,_xlfn.XLOOKUP($A18,'Master Data'!$B$3:$B$122,'Master Data'!$C$3:$W$122))-$B18)</f>
        <v>#N/A</v>
      </c>
      <c r="AA18" s="87" t="e" cm="1">
        <f t="array" ref="AA18">10^3*(_xlfn.XLOOKUP(AA$8,'Master Data'!$C$2:$W$2,_xlfn.XLOOKUP($A18,'Master Data'!$B$3:$B$122,'Master Data'!$C$3:$W$122))-$B18)</f>
        <v>#N/A</v>
      </c>
    </row>
    <row r="19" spans="1:27" x14ac:dyDescent="0.25">
      <c r="A19" s="101" t="s">
        <v>82</v>
      </c>
      <c r="B19" s="155">
        <v>77</v>
      </c>
      <c r="C19" t="b">
        <f>ISNUMBER(_xlfn.XMATCH(A19,'Master Data'!$B$3:$B$122))</f>
        <v>1</v>
      </c>
      <c r="E19" s="85" cm="1">
        <f t="array" ref="E19">10^3*(_xlfn.XLOOKUP(E$8,'Master Data'!$C$2:$W$2,_xlfn.XLOOKUP($A19,'Master Data'!$B$3:$B$122,'Master Data'!$C$3:$W$122))-$B19)</f>
        <v>8000</v>
      </c>
      <c r="F19" s="86" cm="1">
        <f t="array" ref="F19">10^3*(_xlfn.XLOOKUP(F$8,'Master Data'!$C$2:$W$2,_xlfn.XLOOKUP($A19,'Master Data'!$B$3:$B$122,'Master Data'!$C$3:$W$122))-$B19)</f>
        <v>8000</v>
      </c>
      <c r="G19" s="86" cm="1">
        <f t="array" ref="G19">10^3*(_xlfn.XLOOKUP(G$8,'Master Data'!$C$2:$W$2,_xlfn.XLOOKUP($A19,'Master Data'!$B$3:$B$122,'Master Data'!$C$3:$W$122))-$B19)</f>
        <v>6000</v>
      </c>
      <c r="H19" s="86" cm="1">
        <f t="array" ref="H19">10^3*(_xlfn.XLOOKUP(H$8,'Master Data'!$C$2:$W$2,_xlfn.XLOOKUP($A19,'Master Data'!$B$3:$B$122,'Master Data'!$C$3:$W$122))-$B19)</f>
        <v>6000</v>
      </c>
      <c r="I19" s="86" cm="1">
        <f t="array" ref="I19">10^3*(_xlfn.XLOOKUP(I$8,'Master Data'!$C$2:$W$2,_xlfn.XLOOKUP($A19,'Master Data'!$B$3:$B$122,'Master Data'!$C$3:$W$122))-$B19)</f>
        <v>6000</v>
      </c>
      <c r="J19" s="86" cm="1">
        <f t="array" ref="J19">10^3*(_xlfn.XLOOKUP(J$8,'Master Data'!$C$2:$W$2,_xlfn.XLOOKUP($A19,'Master Data'!$B$3:$B$122,'Master Data'!$C$3:$W$122))-$B19)</f>
        <v>6000</v>
      </c>
      <c r="K19" s="86" cm="1">
        <f t="array" ref="K19">10^3*(_xlfn.XLOOKUP(K$8,'Master Data'!$C$2:$W$2,_xlfn.XLOOKUP($A19,'Master Data'!$B$3:$B$122,'Master Data'!$C$3:$W$122))-$B19)</f>
        <v>6000</v>
      </c>
      <c r="L19" s="86" cm="1">
        <f t="array" ref="L19">10^3*(_xlfn.XLOOKUP(L$8,'Master Data'!$C$2:$W$2,_xlfn.XLOOKUP($A19,'Master Data'!$B$3:$B$122,'Master Data'!$C$3:$W$122))-$B19)</f>
        <v>6000</v>
      </c>
      <c r="M19" s="86" cm="1">
        <f t="array" ref="M19">10^3*(_xlfn.XLOOKUP(M$8,'Master Data'!$C$2:$W$2,_xlfn.XLOOKUP($A19,'Master Data'!$B$3:$B$122,'Master Data'!$C$3:$W$122))-$B19)</f>
        <v>6000</v>
      </c>
      <c r="N19" s="86" cm="1">
        <f t="array" ref="N19">10^3*(_xlfn.XLOOKUP(N$8,'Master Data'!$C$2:$W$2,_xlfn.XLOOKUP($A19,'Master Data'!$B$3:$B$122,'Master Data'!$C$3:$W$122))-$B19)</f>
        <v>6000</v>
      </c>
      <c r="O19" s="86" cm="1">
        <f t="array" ref="O19">10^3*(_xlfn.XLOOKUP(O$8,'Master Data'!$C$2:$W$2,_xlfn.XLOOKUP($A19,'Master Data'!$B$3:$B$122,'Master Data'!$C$3:$W$122))-$B19)</f>
        <v>6000</v>
      </c>
      <c r="P19" s="86" cm="1">
        <f t="array" ref="P19">10^3*(_xlfn.XLOOKUP(P$8,'Master Data'!$C$2:$W$2,_xlfn.XLOOKUP($A19,'Master Data'!$B$3:$B$122,'Master Data'!$C$3:$W$122))-$B19)</f>
        <v>8000</v>
      </c>
      <c r="Q19" s="86" cm="1">
        <f t="array" ref="Q19">10^3*(_xlfn.XLOOKUP(Q$8,'Master Data'!$C$2:$W$2,_xlfn.XLOOKUP($A19,'Master Data'!$B$3:$B$122,'Master Data'!$C$3:$W$122))-$B19)</f>
        <v>8000</v>
      </c>
      <c r="R19" s="86" cm="1">
        <f t="array" ref="R19">10^3*(_xlfn.XLOOKUP(R$8,'Master Data'!$C$2:$W$2,_xlfn.XLOOKUP($A19,'Master Data'!$B$3:$B$122,'Master Data'!$C$3:$W$122))-$B19)</f>
        <v>8000</v>
      </c>
      <c r="S19" s="86" cm="1">
        <f t="array" ref="S19">10^3*(_xlfn.XLOOKUP(S$8,'Master Data'!$C$2:$W$2,_xlfn.XLOOKUP($A19,'Master Data'!$B$3:$B$122,'Master Data'!$C$3:$W$122))-$B19)</f>
        <v>6000</v>
      </c>
      <c r="T19" s="86" cm="1">
        <f t="array" ref="T19">10^3*(_xlfn.XLOOKUP(T$8,'Master Data'!$C$2:$W$2,_xlfn.XLOOKUP($A19,'Master Data'!$B$3:$B$122,'Master Data'!$C$3:$W$122))-$B19)</f>
        <v>8000</v>
      </c>
      <c r="U19" s="86" cm="1">
        <f t="array" ref="U19">10^3*(_xlfn.XLOOKUP(U$8,'Master Data'!$C$2:$W$2,_xlfn.XLOOKUP($A19,'Master Data'!$B$3:$B$122,'Master Data'!$C$3:$W$122))-$B19)</f>
        <v>8000</v>
      </c>
      <c r="V19" s="86" cm="1">
        <f t="array" ref="V19">10^3*(_xlfn.XLOOKUP(V$8,'Master Data'!$C$2:$W$2,_xlfn.XLOOKUP($A19,'Master Data'!$B$3:$B$122,'Master Data'!$C$3:$W$122))-$B19)</f>
        <v>8000</v>
      </c>
      <c r="W19" s="86" cm="1">
        <f t="array" ref="W19">10^3*(_xlfn.XLOOKUP(W$8,'Master Data'!$C$2:$W$2,_xlfn.XLOOKUP($A19,'Master Data'!$B$3:$B$122,'Master Data'!$C$3:$W$122))-$B19)</f>
        <v>6000</v>
      </c>
      <c r="X19" s="86" cm="1">
        <f t="array" ref="X19">10^3*(_xlfn.XLOOKUP(X$8,'Master Data'!$C$2:$W$2,_xlfn.XLOOKUP($A19,'Master Data'!$B$3:$B$122,'Master Data'!$C$3:$W$122))-$B19)</f>
        <v>6000</v>
      </c>
      <c r="Y19" s="87" cm="1">
        <f t="array" ref="Y19">10^3*(_xlfn.XLOOKUP(Y$8,'Master Data'!$C$2:$W$2,_xlfn.XLOOKUP($A19,'Master Data'!$B$3:$B$122,'Master Data'!$C$3:$W$122))-$B19)</f>
        <v>6000</v>
      </c>
      <c r="Z19" s="87" t="e" cm="1">
        <f t="array" ref="Z19">10^3*(_xlfn.XLOOKUP(Z$8,'Master Data'!$C$2:$W$2,_xlfn.XLOOKUP($A19,'Master Data'!$B$3:$B$122,'Master Data'!$C$3:$W$122))-$B19)</f>
        <v>#N/A</v>
      </c>
      <c r="AA19" s="87" t="e" cm="1">
        <f t="array" ref="AA19">10^3*(_xlfn.XLOOKUP(AA$8,'Master Data'!$C$2:$W$2,_xlfn.XLOOKUP($A19,'Master Data'!$B$3:$B$122,'Master Data'!$C$3:$W$122))-$B19)</f>
        <v>#N/A</v>
      </c>
    </row>
    <row r="20" spans="1:27" x14ac:dyDescent="0.25">
      <c r="A20" s="101" t="s">
        <v>83</v>
      </c>
      <c r="B20" s="155">
        <v>77</v>
      </c>
      <c r="C20" t="b">
        <f>ISNUMBER(_xlfn.XMATCH(A20,'Master Data'!$B$3:$B$122))</f>
        <v>1</v>
      </c>
      <c r="E20" s="85" cm="1">
        <f t="array" ref="E20">10^3*(_xlfn.XLOOKUP(E$8,'Master Data'!$C$2:$W$2,_xlfn.XLOOKUP($A20,'Master Data'!$B$3:$B$122,'Master Data'!$C$3:$W$122))-$B20)</f>
        <v>8000</v>
      </c>
      <c r="F20" s="86" cm="1">
        <f t="array" ref="F20">10^3*(_xlfn.XLOOKUP(F$8,'Master Data'!$C$2:$W$2,_xlfn.XLOOKUP($A20,'Master Data'!$B$3:$B$122,'Master Data'!$C$3:$W$122))-$B20)</f>
        <v>8000</v>
      </c>
      <c r="G20" s="86" cm="1">
        <f t="array" ref="G20">10^3*(_xlfn.XLOOKUP(G$8,'Master Data'!$C$2:$W$2,_xlfn.XLOOKUP($A20,'Master Data'!$B$3:$B$122,'Master Data'!$C$3:$W$122))-$B20)</f>
        <v>6000</v>
      </c>
      <c r="H20" s="86" cm="1">
        <f t="array" ref="H20">10^3*(_xlfn.XLOOKUP(H$8,'Master Data'!$C$2:$W$2,_xlfn.XLOOKUP($A20,'Master Data'!$B$3:$B$122,'Master Data'!$C$3:$W$122))-$B20)</f>
        <v>6000</v>
      </c>
      <c r="I20" s="86" cm="1">
        <f t="array" ref="I20">10^3*(_xlfn.XLOOKUP(I$8,'Master Data'!$C$2:$W$2,_xlfn.XLOOKUP($A20,'Master Data'!$B$3:$B$122,'Master Data'!$C$3:$W$122))-$B20)</f>
        <v>6000</v>
      </c>
      <c r="J20" s="86" cm="1">
        <f t="array" ref="J20">10^3*(_xlfn.XLOOKUP(J$8,'Master Data'!$C$2:$W$2,_xlfn.XLOOKUP($A20,'Master Data'!$B$3:$B$122,'Master Data'!$C$3:$W$122))-$B20)</f>
        <v>6000</v>
      </c>
      <c r="K20" s="86" cm="1">
        <f t="array" ref="K20">10^3*(_xlfn.XLOOKUP(K$8,'Master Data'!$C$2:$W$2,_xlfn.XLOOKUP($A20,'Master Data'!$B$3:$B$122,'Master Data'!$C$3:$W$122))-$B20)</f>
        <v>6000</v>
      </c>
      <c r="L20" s="86" cm="1">
        <f t="array" ref="L20">10^3*(_xlfn.XLOOKUP(L$8,'Master Data'!$C$2:$W$2,_xlfn.XLOOKUP($A20,'Master Data'!$B$3:$B$122,'Master Data'!$C$3:$W$122))-$B20)</f>
        <v>6000</v>
      </c>
      <c r="M20" s="86" cm="1">
        <f t="array" ref="M20">10^3*(_xlfn.XLOOKUP(M$8,'Master Data'!$C$2:$W$2,_xlfn.XLOOKUP($A20,'Master Data'!$B$3:$B$122,'Master Data'!$C$3:$W$122))-$B20)</f>
        <v>6000</v>
      </c>
      <c r="N20" s="86" cm="1">
        <f t="array" ref="N20">10^3*(_xlfn.XLOOKUP(N$8,'Master Data'!$C$2:$W$2,_xlfn.XLOOKUP($A20,'Master Data'!$B$3:$B$122,'Master Data'!$C$3:$W$122))-$B20)</f>
        <v>6000</v>
      </c>
      <c r="O20" s="86" cm="1">
        <f t="array" ref="O20">10^3*(_xlfn.XLOOKUP(O$8,'Master Data'!$C$2:$W$2,_xlfn.XLOOKUP($A20,'Master Data'!$B$3:$B$122,'Master Data'!$C$3:$W$122))-$B20)</f>
        <v>6000</v>
      </c>
      <c r="P20" s="86" cm="1">
        <f t="array" ref="P20">10^3*(_xlfn.XLOOKUP(P$8,'Master Data'!$C$2:$W$2,_xlfn.XLOOKUP($A20,'Master Data'!$B$3:$B$122,'Master Data'!$C$3:$W$122))-$B20)</f>
        <v>8000</v>
      </c>
      <c r="Q20" s="86" cm="1">
        <f t="array" ref="Q20">10^3*(_xlfn.XLOOKUP(Q$8,'Master Data'!$C$2:$W$2,_xlfn.XLOOKUP($A20,'Master Data'!$B$3:$B$122,'Master Data'!$C$3:$W$122))-$B20)</f>
        <v>8000</v>
      </c>
      <c r="R20" s="86" cm="1">
        <f t="array" ref="R20">10^3*(_xlfn.XLOOKUP(R$8,'Master Data'!$C$2:$W$2,_xlfn.XLOOKUP($A20,'Master Data'!$B$3:$B$122,'Master Data'!$C$3:$W$122))-$B20)</f>
        <v>8000</v>
      </c>
      <c r="S20" s="86" cm="1">
        <f t="array" ref="S20">10^3*(_xlfn.XLOOKUP(S$8,'Master Data'!$C$2:$W$2,_xlfn.XLOOKUP($A20,'Master Data'!$B$3:$B$122,'Master Data'!$C$3:$W$122))-$B20)</f>
        <v>6000</v>
      </c>
      <c r="T20" s="86" cm="1">
        <f t="array" ref="T20">10^3*(_xlfn.XLOOKUP(T$8,'Master Data'!$C$2:$W$2,_xlfn.XLOOKUP($A20,'Master Data'!$B$3:$B$122,'Master Data'!$C$3:$W$122))-$B20)</f>
        <v>8000</v>
      </c>
      <c r="U20" s="86" cm="1">
        <f t="array" ref="U20">10^3*(_xlfn.XLOOKUP(U$8,'Master Data'!$C$2:$W$2,_xlfn.XLOOKUP($A20,'Master Data'!$B$3:$B$122,'Master Data'!$C$3:$W$122))-$B20)</f>
        <v>8000</v>
      </c>
      <c r="V20" s="86" cm="1">
        <f t="array" ref="V20">10^3*(_xlfn.XLOOKUP(V$8,'Master Data'!$C$2:$W$2,_xlfn.XLOOKUP($A20,'Master Data'!$B$3:$B$122,'Master Data'!$C$3:$W$122))-$B20)</f>
        <v>8000</v>
      </c>
      <c r="W20" s="86" cm="1">
        <f t="array" ref="W20">10^3*(_xlfn.XLOOKUP(W$8,'Master Data'!$C$2:$W$2,_xlfn.XLOOKUP($A20,'Master Data'!$B$3:$B$122,'Master Data'!$C$3:$W$122))-$B20)</f>
        <v>6000</v>
      </c>
      <c r="X20" s="86" cm="1">
        <f t="array" ref="X20">10^3*(_xlfn.XLOOKUP(X$8,'Master Data'!$C$2:$W$2,_xlfn.XLOOKUP($A20,'Master Data'!$B$3:$B$122,'Master Data'!$C$3:$W$122))-$B20)</f>
        <v>6000</v>
      </c>
      <c r="Y20" s="87" cm="1">
        <f t="array" ref="Y20">10^3*(_xlfn.XLOOKUP(Y$8,'Master Data'!$C$2:$W$2,_xlfn.XLOOKUP($A20,'Master Data'!$B$3:$B$122,'Master Data'!$C$3:$W$122))-$B20)</f>
        <v>6000</v>
      </c>
      <c r="Z20" s="87" t="e" cm="1">
        <f t="array" ref="Z20">10^3*(_xlfn.XLOOKUP(Z$8,'Master Data'!$C$2:$W$2,_xlfn.XLOOKUP($A20,'Master Data'!$B$3:$B$122,'Master Data'!$C$3:$W$122))-$B20)</f>
        <v>#N/A</v>
      </c>
      <c r="AA20" s="87" t="e" cm="1">
        <f t="array" ref="AA20">10^3*(_xlfn.XLOOKUP(AA$8,'Master Data'!$C$2:$W$2,_xlfn.XLOOKUP($A20,'Master Data'!$B$3:$B$122,'Master Data'!$C$3:$W$122))-$B20)</f>
        <v>#N/A</v>
      </c>
    </row>
    <row r="21" spans="1:27" x14ac:dyDescent="0.25">
      <c r="A21" s="101" t="s">
        <v>84</v>
      </c>
      <c r="B21" s="155">
        <v>70</v>
      </c>
      <c r="C21" t="b">
        <f>ISNUMBER(_xlfn.XMATCH(A21,'Master Data'!$B$3:$B$122))</f>
        <v>1</v>
      </c>
      <c r="E21" s="85" cm="1">
        <f t="array" ref="E21">10^3*(_xlfn.XLOOKUP(E$8,'Master Data'!$C$2:$W$2,_xlfn.XLOOKUP($A21,'Master Data'!$B$3:$B$122,'Master Data'!$C$3:$W$122))-$B21)</f>
        <v>10000</v>
      </c>
      <c r="F21" s="86" cm="1">
        <f t="array" ref="F21">10^3*(_xlfn.XLOOKUP(F$8,'Master Data'!$C$2:$W$2,_xlfn.XLOOKUP($A21,'Master Data'!$B$3:$B$122,'Master Data'!$C$3:$W$122))-$B21)</f>
        <v>10000</v>
      </c>
      <c r="G21" s="86" cm="1">
        <f t="array" ref="G21">10^3*(_xlfn.XLOOKUP(G$8,'Master Data'!$C$2:$W$2,_xlfn.XLOOKUP($A21,'Master Data'!$B$3:$B$122,'Master Data'!$C$3:$W$122))-$B21)</f>
        <v>10000</v>
      </c>
      <c r="H21" s="86" cm="1">
        <f t="array" ref="H21">10^3*(_xlfn.XLOOKUP(H$8,'Master Data'!$C$2:$W$2,_xlfn.XLOOKUP($A21,'Master Data'!$B$3:$B$122,'Master Data'!$C$3:$W$122))-$B21)</f>
        <v>10000</v>
      </c>
      <c r="I21" s="86" cm="1">
        <f t="array" ref="I21">10^3*(_xlfn.XLOOKUP(I$8,'Master Data'!$C$2:$W$2,_xlfn.XLOOKUP($A21,'Master Data'!$B$3:$B$122,'Master Data'!$C$3:$W$122))-$B21)</f>
        <v>10000</v>
      </c>
      <c r="J21" s="86" cm="1">
        <f t="array" ref="J21">10^3*(_xlfn.XLOOKUP(J$8,'Master Data'!$C$2:$W$2,_xlfn.XLOOKUP($A21,'Master Data'!$B$3:$B$122,'Master Data'!$C$3:$W$122))-$B21)</f>
        <v>10000</v>
      </c>
      <c r="K21" s="86" cm="1">
        <f t="array" ref="K21">10^3*(_xlfn.XLOOKUP(K$8,'Master Data'!$C$2:$W$2,_xlfn.XLOOKUP($A21,'Master Data'!$B$3:$B$122,'Master Data'!$C$3:$W$122))-$B21)</f>
        <v>10000</v>
      </c>
      <c r="L21" s="86" cm="1">
        <f t="array" ref="L21">10^3*(_xlfn.XLOOKUP(L$8,'Master Data'!$C$2:$W$2,_xlfn.XLOOKUP($A21,'Master Data'!$B$3:$B$122,'Master Data'!$C$3:$W$122))-$B21)</f>
        <v>10000</v>
      </c>
      <c r="M21" s="86" cm="1">
        <f t="array" ref="M21">10^3*(_xlfn.XLOOKUP(M$8,'Master Data'!$C$2:$W$2,_xlfn.XLOOKUP($A21,'Master Data'!$B$3:$B$122,'Master Data'!$C$3:$W$122))-$B21)</f>
        <v>10000</v>
      </c>
      <c r="N21" s="86" cm="1">
        <f t="array" ref="N21">10^3*(_xlfn.XLOOKUP(N$8,'Master Data'!$C$2:$W$2,_xlfn.XLOOKUP($A21,'Master Data'!$B$3:$B$122,'Master Data'!$C$3:$W$122))-$B21)</f>
        <v>10000</v>
      </c>
      <c r="O21" s="86" cm="1">
        <f t="array" ref="O21">10^3*(_xlfn.XLOOKUP(O$8,'Master Data'!$C$2:$W$2,_xlfn.XLOOKUP($A21,'Master Data'!$B$3:$B$122,'Master Data'!$C$3:$W$122))-$B21)</f>
        <v>10000</v>
      </c>
      <c r="P21" s="86" cm="1">
        <f t="array" ref="P21">10^3*(_xlfn.XLOOKUP(P$8,'Master Data'!$C$2:$W$2,_xlfn.XLOOKUP($A21,'Master Data'!$B$3:$B$122,'Master Data'!$C$3:$W$122))-$B21)</f>
        <v>10000</v>
      </c>
      <c r="Q21" s="86" cm="1">
        <f t="array" ref="Q21">10^3*(_xlfn.XLOOKUP(Q$8,'Master Data'!$C$2:$W$2,_xlfn.XLOOKUP($A21,'Master Data'!$B$3:$B$122,'Master Data'!$C$3:$W$122))-$B21)</f>
        <v>10000</v>
      </c>
      <c r="R21" s="86" cm="1">
        <f t="array" ref="R21">10^3*(_xlfn.XLOOKUP(R$8,'Master Data'!$C$2:$W$2,_xlfn.XLOOKUP($A21,'Master Data'!$B$3:$B$122,'Master Data'!$C$3:$W$122))-$B21)</f>
        <v>10000</v>
      </c>
      <c r="S21" s="86" cm="1">
        <f t="array" ref="S21">10^3*(_xlfn.XLOOKUP(S$8,'Master Data'!$C$2:$W$2,_xlfn.XLOOKUP($A21,'Master Data'!$B$3:$B$122,'Master Data'!$C$3:$W$122))-$B21)</f>
        <v>10000</v>
      </c>
      <c r="T21" s="86" cm="1">
        <f t="array" ref="T21">10^3*(_xlfn.XLOOKUP(T$8,'Master Data'!$C$2:$W$2,_xlfn.XLOOKUP($A21,'Master Data'!$B$3:$B$122,'Master Data'!$C$3:$W$122))-$B21)</f>
        <v>10000</v>
      </c>
      <c r="U21" s="86" cm="1">
        <f t="array" ref="U21">10^3*(_xlfn.XLOOKUP(U$8,'Master Data'!$C$2:$W$2,_xlfn.XLOOKUP($A21,'Master Data'!$B$3:$B$122,'Master Data'!$C$3:$W$122))-$B21)</f>
        <v>10000</v>
      </c>
      <c r="V21" s="86" cm="1">
        <f t="array" ref="V21">10^3*(_xlfn.XLOOKUP(V$8,'Master Data'!$C$2:$W$2,_xlfn.XLOOKUP($A21,'Master Data'!$B$3:$B$122,'Master Data'!$C$3:$W$122))-$B21)</f>
        <v>10000</v>
      </c>
      <c r="W21" s="86" cm="1">
        <f t="array" ref="W21">10^3*(_xlfn.XLOOKUP(W$8,'Master Data'!$C$2:$W$2,_xlfn.XLOOKUP($A21,'Master Data'!$B$3:$B$122,'Master Data'!$C$3:$W$122))-$B21)</f>
        <v>10000</v>
      </c>
      <c r="X21" s="86" cm="1">
        <f t="array" ref="X21">10^3*(_xlfn.XLOOKUP(X$8,'Master Data'!$C$2:$W$2,_xlfn.XLOOKUP($A21,'Master Data'!$B$3:$B$122,'Master Data'!$C$3:$W$122))-$B21)</f>
        <v>10000</v>
      </c>
      <c r="Y21" s="87" cm="1">
        <f t="array" ref="Y21">10^3*(_xlfn.XLOOKUP(Y$8,'Master Data'!$C$2:$W$2,_xlfn.XLOOKUP($A21,'Master Data'!$B$3:$B$122,'Master Data'!$C$3:$W$122))-$B21)</f>
        <v>10000</v>
      </c>
      <c r="Z21" s="87" t="e" cm="1">
        <f t="array" ref="Z21">10^3*(_xlfn.XLOOKUP(Z$8,'Master Data'!$C$2:$W$2,_xlfn.XLOOKUP($A21,'Master Data'!$B$3:$B$122,'Master Data'!$C$3:$W$122))-$B21)</f>
        <v>#N/A</v>
      </c>
      <c r="AA21" s="87" t="e" cm="1">
        <f t="array" ref="AA21">10^3*(_xlfn.XLOOKUP(AA$8,'Master Data'!$C$2:$W$2,_xlfn.XLOOKUP($A21,'Master Data'!$B$3:$B$122,'Master Data'!$C$3:$W$122))-$B21)</f>
        <v>#N/A</v>
      </c>
    </row>
    <row r="22" spans="1:27" x14ac:dyDescent="0.25">
      <c r="A22" s="101" t="s">
        <v>85</v>
      </c>
      <c r="B22" s="155">
        <v>65</v>
      </c>
      <c r="C22" t="b">
        <f>ISNUMBER(_xlfn.XMATCH(A22,'Master Data'!$B$3:$B$122))</f>
        <v>1</v>
      </c>
      <c r="E22" s="85" cm="1">
        <f t="array" ref="E22">10^3*(_xlfn.XLOOKUP(E$8,'Master Data'!$C$2:$W$2,_xlfn.XLOOKUP($A22,'Master Data'!$B$3:$B$122,'Master Data'!$C$3:$W$122))-$B22)</f>
        <v>10000</v>
      </c>
      <c r="F22" s="86" cm="1">
        <f t="array" ref="F22">10^3*(_xlfn.XLOOKUP(F$8,'Master Data'!$C$2:$W$2,_xlfn.XLOOKUP($A22,'Master Data'!$B$3:$B$122,'Master Data'!$C$3:$W$122))-$B22)</f>
        <v>10000</v>
      </c>
      <c r="G22" s="86" cm="1">
        <f t="array" ref="G22">10^3*(_xlfn.XLOOKUP(G$8,'Master Data'!$C$2:$W$2,_xlfn.XLOOKUP($A22,'Master Data'!$B$3:$B$122,'Master Data'!$C$3:$W$122))-$B22)</f>
        <v>10000</v>
      </c>
      <c r="H22" s="86" cm="1">
        <f t="array" ref="H22">10^3*(_xlfn.XLOOKUP(H$8,'Master Data'!$C$2:$W$2,_xlfn.XLOOKUP($A22,'Master Data'!$B$3:$B$122,'Master Data'!$C$3:$W$122))-$B22)</f>
        <v>10000</v>
      </c>
      <c r="I22" s="86" cm="1">
        <f t="array" ref="I22">10^3*(_xlfn.XLOOKUP(I$8,'Master Data'!$C$2:$W$2,_xlfn.XLOOKUP($A22,'Master Data'!$B$3:$B$122,'Master Data'!$C$3:$W$122))-$B22)</f>
        <v>10000</v>
      </c>
      <c r="J22" s="86" cm="1">
        <f t="array" ref="J22">10^3*(_xlfn.XLOOKUP(J$8,'Master Data'!$C$2:$W$2,_xlfn.XLOOKUP($A22,'Master Data'!$B$3:$B$122,'Master Data'!$C$3:$W$122))-$B22)</f>
        <v>10000</v>
      </c>
      <c r="K22" s="86" cm="1">
        <f t="array" ref="K22">10^3*(_xlfn.XLOOKUP(K$8,'Master Data'!$C$2:$W$2,_xlfn.XLOOKUP($A22,'Master Data'!$B$3:$B$122,'Master Data'!$C$3:$W$122))-$B22)</f>
        <v>10000</v>
      </c>
      <c r="L22" s="86" cm="1">
        <f t="array" ref="L22">10^3*(_xlfn.XLOOKUP(L$8,'Master Data'!$C$2:$W$2,_xlfn.XLOOKUP($A22,'Master Data'!$B$3:$B$122,'Master Data'!$C$3:$W$122))-$B22)</f>
        <v>10000</v>
      </c>
      <c r="M22" s="86" cm="1">
        <f t="array" ref="M22">10^3*(_xlfn.XLOOKUP(M$8,'Master Data'!$C$2:$W$2,_xlfn.XLOOKUP($A22,'Master Data'!$B$3:$B$122,'Master Data'!$C$3:$W$122))-$B22)</f>
        <v>10000</v>
      </c>
      <c r="N22" s="86" cm="1">
        <f t="array" ref="N22">10^3*(_xlfn.XLOOKUP(N$8,'Master Data'!$C$2:$W$2,_xlfn.XLOOKUP($A22,'Master Data'!$B$3:$B$122,'Master Data'!$C$3:$W$122))-$B22)</f>
        <v>10000</v>
      </c>
      <c r="O22" s="86" cm="1">
        <f t="array" ref="O22">10^3*(_xlfn.XLOOKUP(O$8,'Master Data'!$C$2:$W$2,_xlfn.XLOOKUP($A22,'Master Data'!$B$3:$B$122,'Master Data'!$C$3:$W$122))-$B22)</f>
        <v>10000</v>
      </c>
      <c r="P22" s="86" cm="1">
        <f t="array" ref="P22">10^3*(_xlfn.XLOOKUP(P$8,'Master Data'!$C$2:$W$2,_xlfn.XLOOKUP($A22,'Master Data'!$B$3:$B$122,'Master Data'!$C$3:$W$122))-$B22)</f>
        <v>10000</v>
      </c>
      <c r="Q22" s="86" cm="1">
        <f t="array" ref="Q22">10^3*(_xlfn.XLOOKUP(Q$8,'Master Data'!$C$2:$W$2,_xlfn.XLOOKUP($A22,'Master Data'!$B$3:$B$122,'Master Data'!$C$3:$W$122))-$B22)</f>
        <v>10000</v>
      </c>
      <c r="R22" s="86" cm="1">
        <f t="array" ref="R22">10^3*(_xlfn.XLOOKUP(R$8,'Master Data'!$C$2:$W$2,_xlfn.XLOOKUP($A22,'Master Data'!$B$3:$B$122,'Master Data'!$C$3:$W$122))-$B22)</f>
        <v>15000</v>
      </c>
      <c r="S22" s="86" cm="1">
        <f t="array" ref="S22">10^3*(_xlfn.XLOOKUP(S$8,'Master Data'!$C$2:$W$2,_xlfn.XLOOKUP($A22,'Master Data'!$B$3:$B$122,'Master Data'!$C$3:$W$122))-$B22)</f>
        <v>10000</v>
      </c>
      <c r="T22" s="86" cm="1">
        <f t="array" ref="T22">10^3*(_xlfn.XLOOKUP(T$8,'Master Data'!$C$2:$W$2,_xlfn.XLOOKUP($A22,'Master Data'!$B$3:$B$122,'Master Data'!$C$3:$W$122))-$B22)</f>
        <v>10000</v>
      </c>
      <c r="U22" s="86" cm="1">
        <f t="array" ref="U22">10^3*(_xlfn.XLOOKUP(U$8,'Master Data'!$C$2:$W$2,_xlfn.XLOOKUP($A22,'Master Data'!$B$3:$B$122,'Master Data'!$C$3:$W$122))-$B22)</f>
        <v>10000</v>
      </c>
      <c r="V22" s="86" cm="1">
        <f t="array" ref="V22">10^3*(_xlfn.XLOOKUP(V$8,'Master Data'!$C$2:$W$2,_xlfn.XLOOKUP($A22,'Master Data'!$B$3:$B$122,'Master Data'!$C$3:$W$122))-$B22)</f>
        <v>10000</v>
      </c>
      <c r="W22" s="86" cm="1">
        <f t="array" ref="W22">10^3*(_xlfn.XLOOKUP(W$8,'Master Data'!$C$2:$W$2,_xlfn.XLOOKUP($A22,'Master Data'!$B$3:$B$122,'Master Data'!$C$3:$W$122))-$B22)</f>
        <v>10000</v>
      </c>
      <c r="X22" s="86" cm="1">
        <f t="array" ref="X22">10^3*(_xlfn.XLOOKUP(X$8,'Master Data'!$C$2:$W$2,_xlfn.XLOOKUP($A22,'Master Data'!$B$3:$B$122,'Master Data'!$C$3:$W$122))-$B22)</f>
        <v>10000</v>
      </c>
      <c r="Y22" s="87" cm="1">
        <f t="array" ref="Y22">10^3*(_xlfn.XLOOKUP(Y$8,'Master Data'!$C$2:$W$2,_xlfn.XLOOKUP($A22,'Master Data'!$B$3:$B$122,'Master Data'!$C$3:$W$122))-$B22)</f>
        <v>10000</v>
      </c>
      <c r="Z22" s="87" t="e" cm="1">
        <f t="array" ref="Z22">10^3*(_xlfn.XLOOKUP(Z$8,'Master Data'!$C$2:$W$2,_xlfn.XLOOKUP($A22,'Master Data'!$B$3:$B$122,'Master Data'!$C$3:$W$122))-$B22)</f>
        <v>#N/A</v>
      </c>
      <c r="AA22" s="87" t="e" cm="1">
        <f t="array" ref="AA22">10^3*(_xlfn.XLOOKUP(AA$8,'Master Data'!$C$2:$W$2,_xlfn.XLOOKUP($A22,'Master Data'!$B$3:$B$122,'Master Data'!$C$3:$W$122))-$B22)</f>
        <v>#N/A</v>
      </c>
    </row>
    <row r="23" spans="1:27" x14ac:dyDescent="0.25">
      <c r="A23" s="101" t="s">
        <v>86</v>
      </c>
      <c r="B23" s="155">
        <v>70</v>
      </c>
      <c r="C23" t="b">
        <f>ISNUMBER(_xlfn.XMATCH(A23,'Master Data'!$B$3:$B$122))</f>
        <v>1</v>
      </c>
      <c r="E23" s="85" cm="1">
        <f t="array" ref="E23">10^3*(_xlfn.XLOOKUP(E$8,'Master Data'!$C$2:$W$2,_xlfn.XLOOKUP($A23,'Master Data'!$B$3:$B$122,'Master Data'!$C$3:$W$122))-$B23)</f>
        <v>10000</v>
      </c>
      <c r="F23" s="86" cm="1">
        <f t="array" ref="F23">10^3*(_xlfn.XLOOKUP(F$8,'Master Data'!$C$2:$W$2,_xlfn.XLOOKUP($A23,'Master Data'!$B$3:$B$122,'Master Data'!$C$3:$W$122))-$B23)</f>
        <v>10000</v>
      </c>
      <c r="G23" s="86" cm="1">
        <f t="array" ref="G23">10^3*(_xlfn.XLOOKUP(G$8,'Master Data'!$C$2:$W$2,_xlfn.XLOOKUP($A23,'Master Data'!$B$3:$B$122,'Master Data'!$C$3:$W$122))-$B23)</f>
        <v>10000</v>
      </c>
      <c r="H23" s="86" cm="1">
        <f t="array" ref="H23">10^3*(_xlfn.XLOOKUP(H$8,'Master Data'!$C$2:$W$2,_xlfn.XLOOKUP($A23,'Master Data'!$B$3:$B$122,'Master Data'!$C$3:$W$122))-$B23)</f>
        <v>10000</v>
      </c>
      <c r="I23" s="86" cm="1">
        <f t="array" ref="I23">10^3*(_xlfn.XLOOKUP(I$8,'Master Data'!$C$2:$W$2,_xlfn.XLOOKUP($A23,'Master Data'!$B$3:$B$122,'Master Data'!$C$3:$W$122))-$B23)</f>
        <v>10000</v>
      </c>
      <c r="J23" s="86" cm="1">
        <f t="array" ref="J23">10^3*(_xlfn.XLOOKUP(J$8,'Master Data'!$C$2:$W$2,_xlfn.XLOOKUP($A23,'Master Data'!$B$3:$B$122,'Master Data'!$C$3:$W$122))-$B23)</f>
        <v>10000</v>
      </c>
      <c r="K23" s="86" cm="1">
        <f t="array" ref="K23">10^3*(_xlfn.XLOOKUP(K$8,'Master Data'!$C$2:$W$2,_xlfn.XLOOKUP($A23,'Master Data'!$B$3:$B$122,'Master Data'!$C$3:$W$122))-$B23)</f>
        <v>10000</v>
      </c>
      <c r="L23" s="86" cm="1">
        <f t="array" ref="L23">10^3*(_xlfn.XLOOKUP(L$8,'Master Data'!$C$2:$W$2,_xlfn.XLOOKUP($A23,'Master Data'!$B$3:$B$122,'Master Data'!$C$3:$W$122))-$B23)</f>
        <v>10000</v>
      </c>
      <c r="M23" s="86" cm="1">
        <f t="array" ref="M23">10^3*(_xlfn.XLOOKUP(M$8,'Master Data'!$C$2:$W$2,_xlfn.XLOOKUP($A23,'Master Data'!$B$3:$B$122,'Master Data'!$C$3:$W$122))-$B23)</f>
        <v>10000</v>
      </c>
      <c r="N23" s="86" cm="1">
        <f t="array" ref="N23">10^3*(_xlfn.XLOOKUP(N$8,'Master Data'!$C$2:$W$2,_xlfn.XLOOKUP($A23,'Master Data'!$B$3:$B$122,'Master Data'!$C$3:$W$122))-$B23)</f>
        <v>10000</v>
      </c>
      <c r="O23" s="86" cm="1">
        <f t="array" ref="O23">10^3*(_xlfn.XLOOKUP(O$8,'Master Data'!$C$2:$W$2,_xlfn.XLOOKUP($A23,'Master Data'!$B$3:$B$122,'Master Data'!$C$3:$W$122))-$B23)</f>
        <v>10000</v>
      </c>
      <c r="P23" s="86" cm="1">
        <f t="array" ref="P23">10^3*(_xlfn.XLOOKUP(P$8,'Master Data'!$C$2:$W$2,_xlfn.XLOOKUP($A23,'Master Data'!$B$3:$B$122,'Master Data'!$C$3:$W$122))-$B23)</f>
        <v>10000</v>
      </c>
      <c r="Q23" s="86" cm="1">
        <f t="array" ref="Q23">10^3*(_xlfn.XLOOKUP(Q$8,'Master Data'!$C$2:$W$2,_xlfn.XLOOKUP($A23,'Master Data'!$B$3:$B$122,'Master Data'!$C$3:$W$122))-$B23)</f>
        <v>10000</v>
      </c>
      <c r="R23" s="86" cm="1">
        <f t="array" ref="R23">10^3*(_xlfn.XLOOKUP(R$8,'Master Data'!$C$2:$W$2,_xlfn.XLOOKUP($A23,'Master Data'!$B$3:$B$122,'Master Data'!$C$3:$W$122))-$B23)</f>
        <v>10000</v>
      </c>
      <c r="S23" s="86" cm="1">
        <f t="array" ref="S23">10^3*(_xlfn.XLOOKUP(S$8,'Master Data'!$C$2:$W$2,_xlfn.XLOOKUP($A23,'Master Data'!$B$3:$B$122,'Master Data'!$C$3:$W$122))-$B23)</f>
        <v>10000</v>
      </c>
      <c r="T23" s="86" cm="1">
        <f t="array" ref="T23">10^3*(_xlfn.XLOOKUP(T$8,'Master Data'!$C$2:$W$2,_xlfn.XLOOKUP($A23,'Master Data'!$B$3:$B$122,'Master Data'!$C$3:$W$122))-$B23)</f>
        <v>10000</v>
      </c>
      <c r="U23" s="86" cm="1">
        <f t="array" ref="U23">10^3*(_xlfn.XLOOKUP(U$8,'Master Data'!$C$2:$W$2,_xlfn.XLOOKUP($A23,'Master Data'!$B$3:$B$122,'Master Data'!$C$3:$W$122))-$B23)</f>
        <v>10000</v>
      </c>
      <c r="V23" s="86" cm="1">
        <f t="array" ref="V23">10^3*(_xlfn.XLOOKUP(V$8,'Master Data'!$C$2:$W$2,_xlfn.XLOOKUP($A23,'Master Data'!$B$3:$B$122,'Master Data'!$C$3:$W$122))-$B23)</f>
        <v>10000</v>
      </c>
      <c r="W23" s="86" cm="1">
        <f t="array" ref="W23">10^3*(_xlfn.XLOOKUP(W$8,'Master Data'!$C$2:$W$2,_xlfn.XLOOKUP($A23,'Master Data'!$B$3:$B$122,'Master Data'!$C$3:$W$122))-$B23)</f>
        <v>10000</v>
      </c>
      <c r="X23" s="86" cm="1">
        <f t="array" ref="X23">10^3*(_xlfn.XLOOKUP(X$8,'Master Data'!$C$2:$W$2,_xlfn.XLOOKUP($A23,'Master Data'!$B$3:$B$122,'Master Data'!$C$3:$W$122))-$B23)</f>
        <v>10000</v>
      </c>
      <c r="Y23" s="87" cm="1">
        <f t="array" ref="Y23">10^3*(_xlfn.XLOOKUP(Y$8,'Master Data'!$C$2:$W$2,_xlfn.XLOOKUP($A23,'Master Data'!$B$3:$B$122,'Master Data'!$C$3:$W$122))-$B23)</f>
        <v>10000</v>
      </c>
      <c r="Z23" s="87" t="e" cm="1">
        <f t="array" ref="Z23">10^3*(_xlfn.XLOOKUP(Z$8,'Master Data'!$C$2:$W$2,_xlfn.XLOOKUP($A23,'Master Data'!$B$3:$B$122,'Master Data'!$C$3:$W$122))-$B23)</f>
        <v>#N/A</v>
      </c>
      <c r="AA23" s="87" t="e" cm="1">
        <f t="array" ref="AA23">10^3*(_xlfn.XLOOKUP(AA$8,'Master Data'!$C$2:$W$2,_xlfn.XLOOKUP($A23,'Master Data'!$B$3:$B$122,'Master Data'!$C$3:$W$122))-$B23)</f>
        <v>#N/A</v>
      </c>
    </row>
    <row r="24" spans="1:27" x14ac:dyDescent="0.25">
      <c r="A24" s="101" t="s">
        <v>87</v>
      </c>
      <c r="B24" s="155">
        <v>70</v>
      </c>
      <c r="C24" t="b">
        <f>ISNUMBER(_xlfn.XMATCH(A24,'Master Data'!$B$3:$B$122))</f>
        <v>1</v>
      </c>
      <c r="E24" s="85" cm="1">
        <f t="array" ref="E24">10^3*(_xlfn.XLOOKUP(E$8,'Master Data'!$C$2:$W$2,_xlfn.XLOOKUP($A24,'Master Data'!$B$3:$B$122,'Master Data'!$C$3:$W$122))-$B24)</f>
        <v>10000</v>
      </c>
      <c r="F24" s="86" cm="1">
        <f t="array" ref="F24">10^3*(_xlfn.XLOOKUP(F$8,'Master Data'!$C$2:$W$2,_xlfn.XLOOKUP($A24,'Master Data'!$B$3:$B$122,'Master Data'!$C$3:$W$122))-$B24)</f>
        <v>10000</v>
      </c>
      <c r="G24" s="86" cm="1">
        <f t="array" ref="G24">10^3*(_xlfn.XLOOKUP(G$8,'Master Data'!$C$2:$W$2,_xlfn.XLOOKUP($A24,'Master Data'!$B$3:$B$122,'Master Data'!$C$3:$W$122))-$B24)</f>
        <v>10000</v>
      </c>
      <c r="H24" s="86" cm="1">
        <f t="array" ref="H24">10^3*(_xlfn.XLOOKUP(H$8,'Master Data'!$C$2:$W$2,_xlfn.XLOOKUP($A24,'Master Data'!$B$3:$B$122,'Master Data'!$C$3:$W$122))-$B24)</f>
        <v>10000</v>
      </c>
      <c r="I24" s="86" cm="1">
        <f t="array" ref="I24">10^3*(_xlfn.XLOOKUP(I$8,'Master Data'!$C$2:$W$2,_xlfn.XLOOKUP($A24,'Master Data'!$B$3:$B$122,'Master Data'!$C$3:$W$122))-$B24)</f>
        <v>10000</v>
      </c>
      <c r="J24" s="86" cm="1">
        <f t="array" ref="J24">10^3*(_xlfn.XLOOKUP(J$8,'Master Data'!$C$2:$W$2,_xlfn.XLOOKUP($A24,'Master Data'!$B$3:$B$122,'Master Data'!$C$3:$W$122))-$B24)</f>
        <v>10000</v>
      </c>
      <c r="K24" s="86" cm="1">
        <f t="array" ref="K24">10^3*(_xlfn.XLOOKUP(K$8,'Master Data'!$C$2:$W$2,_xlfn.XLOOKUP($A24,'Master Data'!$B$3:$B$122,'Master Data'!$C$3:$W$122))-$B24)</f>
        <v>10000</v>
      </c>
      <c r="L24" s="86" cm="1">
        <f t="array" ref="L24">10^3*(_xlfn.XLOOKUP(L$8,'Master Data'!$C$2:$W$2,_xlfn.XLOOKUP($A24,'Master Data'!$B$3:$B$122,'Master Data'!$C$3:$W$122))-$B24)</f>
        <v>10000</v>
      </c>
      <c r="M24" s="86" cm="1">
        <f t="array" ref="M24">10^3*(_xlfn.XLOOKUP(M$8,'Master Data'!$C$2:$W$2,_xlfn.XLOOKUP($A24,'Master Data'!$B$3:$B$122,'Master Data'!$C$3:$W$122))-$B24)</f>
        <v>10000</v>
      </c>
      <c r="N24" s="86" cm="1">
        <f t="array" ref="N24">10^3*(_xlfn.XLOOKUP(N$8,'Master Data'!$C$2:$W$2,_xlfn.XLOOKUP($A24,'Master Data'!$B$3:$B$122,'Master Data'!$C$3:$W$122))-$B24)</f>
        <v>10000</v>
      </c>
      <c r="O24" s="86" cm="1">
        <f t="array" ref="O24">10^3*(_xlfn.XLOOKUP(O$8,'Master Data'!$C$2:$W$2,_xlfn.XLOOKUP($A24,'Master Data'!$B$3:$B$122,'Master Data'!$C$3:$W$122))-$B24)</f>
        <v>10000</v>
      </c>
      <c r="P24" s="86" cm="1">
        <f t="array" ref="P24">10^3*(_xlfn.XLOOKUP(P$8,'Master Data'!$C$2:$W$2,_xlfn.XLOOKUP($A24,'Master Data'!$B$3:$B$122,'Master Data'!$C$3:$W$122))-$B24)</f>
        <v>10000</v>
      </c>
      <c r="Q24" s="86" cm="1">
        <f t="array" ref="Q24">10^3*(_xlfn.XLOOKUP(Q$8,'Master Data'!$C$2:$W$2,_xlfn.XLOOKUP($A24,'Master Data'!$B$3:$B$122,'Master Data'!$C$3:$W$122))-$B24)</f>
        <v>10000</v>
      </c>
      <c r="R24" s="86" cm="1">
        <f t="array" ref="R24">10^3*(_xlfn.XLOOKUP(R$8,'Master Data'!$C$2:$W$2,_xlfn.XLOOKUP($A24,'Master Data'!$B$3:$B$122,'Master Data'!$C$3:$W$122))-$B24)</f>
        <v>10000</v>
      </c>
      <c r="S24" s="86" cm="1">
        <f t="array" ref="S24">10^3*(_xlfn.XLOOKUP(S$8,'Master Data'!$C$2:$W$2,_xlfn.XLOOKUP($A24,'Master Data'!$B$3:$B$122,'Master Data'!$C$3:$W$122))-$B24)</f>
        <v>10000</v>
      </c>
      <c r="T24" s="86" cm="1">
        <f t="array" ref="T24">10^3*(_xlfn.XLOOKUP(T$8,'Master Data'!$C$2:$W$2,_xlfn.XLOOKUP($A24,'Master Data'!$B$3:$B$122,'Master Data'!$C$3:$W$122))-$B24)</f>
        <v>10000</v>
      </c>
      <c r="U24" s="86" cm="1">
        <f t="array" ref="U24">10^3*(_xlfn.XLOOKUP(U$8,'Master Data'!$C$2:$W$2,_xlfn.XLOOKUP($A24,'Master Data'!$B$3:$B$122,'Master Data'!$C$3:$W$122))-$B24)</f>
        <v>10000</v>
      </c>
      <c r="V24" s="86" cm="1">
        <f t="array" ref="V24">10^3*(_xlfn.XLOOKUP(V$8,'Master Data'!$C$2:$W$2,_xlfn.XLOOKUP($A24,'Master Data'!$B$3:$B$122,'Master Data'!$C$3:$W$122))-$B24)</f>
        <v>10000</v>
      </c>
      <c r="W24" s="86" cm="1">
        <f t="array" ref="W24">10^3*(_xlfn.XLOOKUP(W$8,'Master Data'!$C$2:$W$2,_xlfn.XLOOKUP($A24,'Master Data'!$B$3:$B$122,'Master Data'!$C$3:$W$122))-$B24)</f>
        <v>10000</v>
      </c>
      <c r="X24" s="86" cm="1">
        <f t="array" ref="X24">10^3*(_xlfn.XLOOKUP(X$8,'Master Data'!$C$2:$W$2,_xlfn.XLOOKUP($A24,'Master Data'!$B$3:$B$122,'Master Data'!$C$3:$W$122))-$B24)</f>
        <v>10000</v>
      </c>
      <c r="Y24" s="87" cm="1">
        <f t="array" ref="Y24">10^3*(_xlfn.XLOOKUP(Y$8,'Master Data'!$C$2:$W$2,_xlfn.XLOOKUP($A24,'Master Data'!$B$3:$B$122,'Master Data'!$C$3:$W$122))-$B24)</f>
        <v>10000</v>
      </c>
      <c r="Z24" s="87" t="e" cm="1">
        <f t="array" ref="Z24">10^3*(_xlfn.XLOOKUP(Z$8,'Master Data'!$C$2:$W$2,_xlfn.XLOOKUP($A24,'Master Data'!$B$3:$B$122,'Master Data'!$C$3:$W$122))-$B24)</f>
        <v>#N/A</v>
      </c>
      <c r="AA24" s="87" t="e" cm="1">
        <f t="array" ref="AA24">10^3*(_xlfn.XLOOKUP(AA$8,'Master Data'!$C$2:$W$2,_xlfn.XLOOKUP($A24,'Master Data'!$B$3:$B$122,'Master Data'!$C$3:$W$122))-$B24)</f>
        <v>#N/A</v>
      </c>
    </row>
    <row r="25" spans="1:27" x14ac:dyDescent="0.25">
      <c r="A25" s="101" t="s">
        <v>88</v>
      </c>
      <c r="B25" s="155">
        <v>70</v>
      </c>
      <c r="C25" t="b">
        <f>ISNUMBER(_xlfn.XMATCH(A25,'Master Data'!$B$3:$B$122))</f>
        <v>1</v>
      </c>
      <c r="E25" s="85" cm="1">
        <f t="array" ref="E25">10^3*(_xlfn.XLOOKUP(E$8,'Master Data'!$C$2:$W$2,_xlfn.XLOOKUP($A25,'Master Data'!$B$3:$B$122,'Master Data'!$C$3:$W$122))-$B25)</f>
        <v>10000</v>
      </c>
      <c r="F25" s="86" cm="1">
        <f t="array" ref="F25">10^3*(_xlfn.XLOOKUP(F$8,'Master Data'!$C$2:$W$2,_xlfn.XLOOKUP($A25,'Master Data'!$B$3:$B$122,'Master Data'!$C$3:$W$122))-$B25)</f>
        <v>10000</v>
      </c>
      <c r="G25" s="86" cm="1">
        <f t="array" ref="G25">10^3*(_xlfn.XLOOKUP(G$8,'Master Data'!$C$2:$W$2,_xlfn.XLOOKUP($A25,'Master Data'!$B$3:$B$122,'Master Data'!$C$3:$W$122))-$B25)</f>
        <v>10000</v>
      </c>
      <c r="H25" s="86" cm="1">
        <f t="array" ref="H25">10^3*(_xlfn.XLOOKUP(H$8,'Master Data'!$C$2:$W$2,_xlfn.XLOOKUP($A25,'Master Data'!$B$3:$B$122,'Master Data'!$C$3:$W$122))-$B25)</f>
        <v>10000</v>
      </c>
      <c r="I25" s="86" cm="1">
        <f t="array" ref="I25">10^3*(_xlfn.XLOOKUP(I$8,'Master Data'!$C$2:$W$2,_xlfn.XLOOKUP($A25,'Master Data'!$B$3:$B$122,'Master Data'!$C$3:$W$122))-$B25)</f>
        <v>10000</v>
      </c>
      <c r="J25" s="86" cm="1">
        <f t="array" ref="J25">10^3*(_xlfn.XLOOKUP(J$8,'Master Data'!$C$2:$W$2,_xlfn.XLOOKUP($A25,'Master Data'!$B$3:$B$122,'Master Data'!$C$3:$W$122))-$B25)</f>
        <v>10000</v>
      </c>
      <c r="K25" s="86" cm="1">
        <f t="array" ref="K25">10^3*(_xlfn.XLOOKUP(K$8,'Master Data'!$C$2:$W$2,_xlfn.XLOOKUP($A25,'Master Data'!$B$3:$B$122,'Master Data'!$C$3:$W$122))-$B25)</f>
        <v>10000</v>
      </c>
      <c r="L25" s="86" cm="1">
        <f t="array" ref="L25">10^3*(_xlfn.XLOOKUP(L$8,'Master Data'!$C$2:$W$2,_xlfn.XLOOKUP($A25,'Master Data'!$B$3:$B$122,'Master Data'!$C$3:$W$122))-$B25)</f>
        <v>10000</v>
      </c>
      <c r="M25" s="86" cm="1">
        <f t="array" ref="M25">10^3*(_xlfn.XLOOKUP(M$8,'Master Data'!$C$2:$W$2,_xlfn.XLOOKUP($A25,'Master Data'!$B$3:$B$122,'Master Data'!$C$3:$W$122))-$B25)</f>
        <v>10000</v>
      </c>
      <c r="N25" s="86" cm="1">
        <f t="array" ref="N25">10^3*(_xlfn.XLOOKUP(N$8,'Master Data'!$C$2:$W$2,_xlfn.XLOOKUP($A25,'Master Data'!$B$3:$B$122,'Master Data'!$C$3:$W$122))-$B25)</f>
        <v>10000</v>
      </c>
      <c r="O25" s="86" cm="1">
        <f t="array" ref="O25">10^3*(_xlfn.XLOOKUP(O$8,'Master Data'!$C$2:$W$2,_xlfn.XLOOKUP($A25,'Master Data'!$B$3:$B$122,'Master Data'!$C$3:$W$122))-$B25)</f>
        <v>10000</v>
      </c>
      <c r="P25" s="86" cm="1">
        <f t="array" ref="P25">10^3*(_xlfn.XLOOKUP(P$8,'Master Data'!$C$2:$W$2,_xlfn.XLOOKUP($A25,'Master Data'!$B$3:$B$122,'Master Data'!$C$3:$W$122))-$B25)</f>
        <v>10000</v>
      </c>
      <c r="Q25" s="86" cm="1">
        <f t="array" ref="Q25">10^3*(_xlfn.XLOOKUP(Q$8,'Master Data'!$C$2:$W$2,_xlfn.XLOOKUP($A25,'Master Data'!$B$3:$B$122,'Master Data'!$C$3:$W$122))-$B25)</f>
        <v>10000</v>
      </c>
      <c r="R25" s="86" cm="1">
        <f t="array" ref="R25">10^3*(_xlfn.XLOOKUP(R$8,'Master Data'!$C$2:$W$2,_xlfn.XLOOKUP($A25,'Master Data'!$B$3:$B$122,'Master Data'!$C$3:$W$122))-$B25)</f>
        <v>10000</v>
      </c>
      <c r="S25" s="86" cm="1">
        <f t="array" ref="S25">10^3*(_xlfn.XLOOKUP(S$8,'Master Data'!$C$2:$W$2,_xlfn.XLOOKUP($A25,'Master Data'!$B$3:$B$122,'Master Data'!$C$3:$W$122))-$B25)</f>
        <v>10000</v>
      </c>
      <c r="T25" s="86" cm="1">
        <f t="array" ref="T25">10^3*(_xlfn.XLOOKUP(T$8,'Master Data'!$C$2:$W$2,_xlfn.XLOOKUP($A25,'Master Data'!$B$3:$B$122,'Master Data'!$C$3:$W$122))-$B25)</f>
        <v>10000</v>
      </c>
      <c r="U25" s="86" cm="1">
        <f t="array" ref="U25">10^3*(_xlfn.XLOOKUP(U$8,'Master Data'!$C$2:$W$2,_xlfn.XLOOKUP($A25,'Master Data'!$B$3:$B$122,'Master Data'!$C$3:$W$122))-$B25)</f>
        <v>10000</v>
      </c>
      <c r="V25" s="86" cm="1">
        <f t="array" ref="V25">10^3*(_xlfn.XLOOKUP(V$8,'Master Data'!$C$2:$W$2,_xlfn.XLOOKUP($A25,'Master Data'!$B$3:$B$122,'Master Data'!$C$3:$W$122))-$B25)</f>
        <v>10000</v>
      </c>
      <c r="W25" s="86" cm="1">
        <f t="array" ref="W25">10^3*(_xlfn.XLOOKUP(W$8,'Master Data'!$C$2:$W$2,_xlfn.XLOOKUP($A25,'Master Data'!$B$3:$B$122,'Master Data'!$C$3:$W$122))-$B25)</f>
        <v>10000</v>
      </c>
      <c r="X25" s="86" cm="1">
        <f t="array" ref="X25">10^3*(_xlfn.XLOOKUP(X$8,'Master Data'!$C$2:$W$2,_xlfn.XLOOKUP($A25,'Master Data'!$B$3:$B$122,'Master Data'!$C$3:$W$122))-$B25)</f>
        <v>10000</v>
      </c>
      <c r="Y25" s="87" cm="1">
        <f t="array" ref="Y25">10^3*(_xlfn.XLOOKUP(Y$8,'Master Data'!$C$2:$W$2,_xlfn.XLOOKUP($A25,'Master Data'!$B$3:$B$122,'Master Data'!$C$3:$W$122))-$B25)</f>
        <v>10000</v>
      </c>
      <c r="Z25" s="87" t="e" cm="1">
        <f t="array" ref="Z25">10^3*(_xlfn.XLOOKUP(Z$8,'Master Data'!$C$2:$W$2,_xlfn.XLOOKUP($A25,'Master Data'!$B$3:$B$122,'Master Data'!$C$3:$W$122))-$B25)</f>
        <v>#N/A</v>
      </c>
      <c r="AA25" s="87" t="e" cm="1">
        <f t="array" ref="AA25">10^3*(_xlfn.XLOOKUP(AA$8,'Master Data'!$C$2:$W$2,_xlfn.XLOOKUP($A25,'Master Data'!$B$3:$B$122,'Master Data'!$C$3:$W$122))-$B25)</f>
        <v>#N/A</v>
      </c>
    </row>
    <row r="26" spans="1:27" x14ac:dyDescent="0.25">
      <c r="A26" s="101" t="s">
        <v>89</v>
      </c>
      <c r="B26" s="155">
        <v>90</v>
      </c>
      <c r="C26" t="b">
        <f>ISNUMBER(_xlfn.XMATCH(A26,'Master Data'!$B$3:$B$122))</f>
        <v>1</v>
      </c>
      <c r="E26" s="85" cm="1">
        <f t="array" ref="E26">10^3*(_xlfn.XLOOKUP(E$8,'Master Data'!$C$2:$W$2,_xlfn.XLOOKUP($A26,'Master Data'!$B$3:$B$122,'Master Data'!$C$3:$W$122))-$B26)</f>
        <v>10000</v>
      </c>
      <c r="F26" s="86" cm="1">
        <f t="array" ref="F26">10^3*(_xlfn.XLOOKUP(F$8,'Master Data'!$C$2:$W$2,_xlfn.XLOOKUP($A26,'Master Data'!$B$3:$B$122,'Master Data'!$C$3:$W$122))-$B26)</f>
        <v>10000</v>
      </c>
      <c r="G26" s="86" cm="1">
        <f t="array" ref="G26">10^3*(_xlfn.XLOOKUP(G$8,'Master Data'!$C$2:$W$2,_xlfn.XLOOKUP($A26,'Master Data'!$B$3:$B$122,'Master Data'!$C$3:$W$122))-$B26)</f>
        <v>5000</v>
      </c>
      <c r="H26" s="86" cm="1">
        <f t="array" ref="H26">10^3*(_xlfn.XLOOKUP(H$8,'Master Data'!$C$2:$W$2,_xlfn.XLOOKUP($A26,'Master Data'!$B$3:$B$122,'Master Data'!$C$3:$W$122))-$B26)</f>
        <v>5000</v>
      </c>
      <c r="I26" s="86" cm="1">
        <f t="array" ref="I26">10^3*(_xlfn.XLOOKUP(I$8,'Master Data'!$C$2:$W$2,_xlfn.XLOOKUP($A26,'Master Data'!$B$3:$B$122,'Master Data'!$C$3:$W$122))-$B26)</f>
        <v>5000</v>
      </c>
      <c r="J26" s="86" cm="1">
        <f t="array" ref="J26">10^3*(_xlfn.XLOOKUP(J$8,'Master Data'!$C$2:$W$2,_xlfn.XLOOKUP($A26,'Master Data'!$B$3:$B$122,'Master Data'!$C$3:$W$122))-$B26)</f>
        <v>5000</v>
      </c>
      <c r="K26" s="86" cm="1">
        <f t="array" ref="K26">10^3*(_xlfn.XLOOKUP(K$8,'Master Data'!$C$2:$W$2,_xlfn.XLOOKUP($A26,'Master Data'!$B$3:$B$122,'Master Data'!$C$3:$W$122))-$B26)</f>
        <v>5000</v>
      </c>
      <c r="L26" s="86" cm="1">
        <f t="array" ref="L26">10^3*(_xlfn.XLOOKUP(L$8,'Master Data'!$C$2:$W$2,_xlfn.XLOOKUP($A26,'Master Data'!$B$3:$B$122,'Master Data'!$C$3:$W$122))-$B26)</f>
        <v>5000</v>
      </c>
      <c r="M26" s="86" cm="1">
        <f t="array" ref="M26">10^3*(_xlfn.XLOOKUP(M$8,'Master Data'!$C$2:$W$2,_xlfn.XLOOKUP($A26,'Master Data'!$B$3:$B$122,'Master Data'!$C$3:$W$122))-$B26)</f>
        <v>5000</v>
      </c>
      <c r="N26" s="86" cm="1">
        <f t="array" ref="N26">10^3*(_xlfn.XLOOKUP(N$8,'Master Data'!$C$2:$W$2,_xlfn.XLOOKUP($A26,'Master Data'!$B$3:$B$122,'Master Data'!$C$3:$W$122))-$B26)</f>
        <v>5000</v>
      </c>
      <c r="O26" s="86" cm="1">
        <f t="array" ref="O26">10^3*(_xlfn.XLOOKUP(O$8,'Master Data'!$C$2:$W$2,_xlfn.XLOOKUP($A26,'Master Data'!$B$3:$B$122,'Master Data'!$C$3:$W$122))-$B26)</f>
        <v>5000</v>
      </c>
      <c r="P26" s="86" cm="1">
        <f t="array" ref="P26">10^3*(_xlfn.XLOOKUP(P$8,'Master Data'!$C$2:$W$2,_xlfn.XLOOKUP($A26,'Master Data'!$B$3:$B$122,'Master Data'!$C$3:$W$122))-$B26)</f>
        <v>10000</v>
      </c>
      <c r="Q26" s="86" cm="1">
        <f t="array" ref="Q26">10^3*(_xlfn.XLOOKUP(Q$8,'Master Data'!$C$2:$W$2,_xlfn.XLOOKUP($A26,'Master Data'!$B$3:$B$122,'Master Data'!$C$3:$W$122))-$B26)</f>
        <v>10000</v>
      </c>
      <c r="R26" s="86" cm="1">
        <f t="array" ref="R26">10^3*(_xlfn.XLOOKUP(R$8,'Master Data'!$C$2:$W$2,_xlfn.XLOOKUP($A26,'Master Data'!$B$3:$B$122,'Master Data'!$C$3:$W$122))-$B26)</f>
        <v>10000</v>
      </c>
      <c r="S26" s="86" cm="1">
        <f t="array" ref="S26">10^3*(_xlfn.XLOOKUP(S$8,'Master Data'!$C$2:$W$2,_xlfn.XLOOKUP($A26,'Master Data'!$B$3:$B$122,'Master Data'!$C$3:$W$122))-$B26)</f>
        <v>5000</v>
      </c>
      <c r="T26" s="86" cm="1">
        <f t="array" ref="T26">10^3*(_xlfn.XLOOKUP(T$8,'Master Data'!$C$2:$W$2,_xlfn.XLOOKUP($A26,'Master Data'!$B$3:$B$122,'Master Data'!$C$3:$W$122))-$B26)</f>
        <v>10000</v>
      </c>
      <c r="U26" s="86" cm="1">
        <f t="array" ref="U26">10^3*(_xlfn.XLOOKUP(U$8,'Master Data'!$C$2:$W$2,_xlfn.XLOOKUP($A26,'Master Data'!$B$3:$B$122,'Master Data'!$C$3:$W$122))-$B26)</f>
        <v>10000</v>
      </c>
      <c r="V26" s="86" cm="1">
        <f t="array" ref="V26">10^3*(_xlfn.XLOOKUP(V$8,'Master Data'!$C$2:$W$2,_xlfn.XLOOKUP($A26,'Master Data'!$B$3:$B$122,'Master Data'!$C$3:$W$122))-$B26)</f>
        <v>10000</v>
      </c>
      <c r="W26" s="86" cm="1">
        <f t="array" ref="W26">10^3*(_xlfn.XLOOKUP(W$8,'Master Data'!$C$2:$W$2,_xlfn.XLOOKUP($A26,'Master Data'!$B$3:$B$122,'Master Data'!$C$3:$W$122))-$B26)</f>
        <v>5000</v>
      </c>
      <c r="X26" s="86" cm="1">
        <f t="array" ref="X26">10^3*(_xlfn.XLOOKUP(X$8,'Master Data'!$C$2:$W$2,_xlfn.XLOOKUP($A26,'Master Data'!$B$3:$B$122,'Master Data'!$C$3:$W$122))-$B26)</f>
        <v>5000</v>
      </c>
      <c r="Y26" s="87" cm="1">
        <f t="array" ref="Y26">10^3*(_xlfn.XLOOKUP(Y$8,'Master Data'!$C$2:$W$2,_xlfn.XLOOKUP($A26,'Master Data'!$B$3:$B$122,'Master Data'!$C$3:$W$122))-$B26)</f>
        <v>5000</v>
      </c>
      <c r="Z26" s="87" t="e" cm="1">
        <f t="array" ref="Z26">10^3*(_xlfn.XLOOKUP(Z$8,'Master Data'!$C$2:$W$2,_xlfn.XLOOKUP($A26,'Master Data'!$B$3:$B$122,'Master Data'!$C$3:$W$122))-$B26)</f>
        <v>#N/A</v>
      </c>
      <c r="AA26" s="87" t="e" cm="1">
        <f t="array" ref="AA26">10^3*(_xlfn.XLOOKUP(AA$8,'Master Data'!$C$2:$W$2,_xlfn.XLOOKUP($A26,'Master Data'!$B$3:$B$122,'Master Data'!$C$3:$W$122))-$B26)</f>
        <v>#N/A</v>
      </c>
    </row>
    <row r="27" spans="1:27" x14ac:dyDescent="0.25">
      <c r="A27" s="101" t="s">
        <v>90</v>
      </c>
      <c r="B27" s="155">
        <v>90</v>
      </c>
      <c r="C27" t="b">
        <f>ISNUMBER(_xlfn.XMATCH(A27,'Master Data'!$B$3:$B$122))</f>
        <v>1</v>
      </c>
      <c r="E27" s="85" cm="1">
        <f t="array" ref="E27">10^3*(_xlfn.XLOOKUP(E$8,'Master Data'!$C$2:$W$2,_xlfn.XLOOKUP($A27,'Master Data'!$B$3:$B$122,'Master Data'!$C$3:$W$122))-$B27)</f>
        <v>10000</v>
      </c>
      <c r="F27" s="86" cm="1">
        <f t="array" ref="F27">10^3*(_xlfn.XLOOKUP(F$8,'Master Data'!$C$2:$W$2,_xlfn.XLOOKUP($A27,'Master Data'!$B$3:$B$122,'Master Data'!$C$3:$W$122))-$B27)</f>
        <v>10000</v>
      </c>
      <c r="G27" s="86" cm="1">
        <f t="array" ref="G27">10^3*(_xlfn.XLOOKUP(G$8,'Master Data'!$C$2:$W$2,_xlfn.XLOOKUP($A27,'Master Data'!$B$3:$B$122,'Master Data'!$C$3:$W$122))-$B27)</f>
        <v>5000</v>
      </c>
      <c r="H27" s="86" cm="1">
        <f t="array" ref="H27">10^3*(_xlfn.XLOOKUP(H$8,'Master Data'!$C$2:$W$2,_xlfn.XLOOKUP($A27,'Master Data'!$B$3:$B$122,'Master Data'!$C$3:$W$122))-$B27)</f>
        <v>5000</v>
      </c>
      <c r="I27" s="86" cm="1">
        <f t="array" ref="I27">10^3*(_xlfn.XLOOKUP(I$8,'Master Data'!$C$2:$W$2,_xlfn.XLOOKUP($A27,'Master Data'!$B$3:$B$122,'Master Data'!$C$3:$W$122))-$B27)</f>
        <v>5000</v>
      </c>
      <c r="J27" s="86" cm="1">
        <f t="array" ref="J27">10^3*(_xlfn.XLOOKUP(J$8,'Master Data'!$C$2:$W$2,_xlfn.XLOOKUP($A27,'Master Data'!$B$3:$B$122,'Master Data'!$C$3:$W$122))-$B27)</f>
        <v>5000</v>
      </c>
      <c r="K27" s="86" cm="1">
        <f t="array" ref="K27">10^3*(_xlfn.XLOOKUP(K$8,'Master Data'!$C$2:$W$2,_xlfn.XLOOKUP($A27,'Master Data'!$B$3:$B$122,'Master Data'!$C$3:$W$122))-$B27)</f>
        <v>5000</v>
      </c>
      <c r="L27" s="86" cm="1">
        <f t="array" ref="L27">10^3*(_xlfn.XLOOKUP(L$8,'Master Data'!$C$2:$W$2,_xlfn.XLOOKUP($A27,'Master Data'!$B$3:$B$122,'Master Data'!$C$3:$W$122))-$B27)</f>
        <v>5000</v>
      </c>
      <c r="M27" s="86" cm="1">
        <f t="array" ref="M27">10^3*(_xlfn.XLOOKUP(M$8,'Master Data'!$C$2:$W$2,_xlfn.XLOOKUP($A27,'Master Data'!$B$3:$B$122,'Master Data'!$C$3:$W$122))-$B27)</f>
        <v>5000</v>
      </c>
      <c r="N27" s="86" cm="1">
        <f t="array" ref="N27">10^3*(_xlfn.XLOOKUP(N$8,'Master Data'!$C$2:$W$2,_xlfn.XLOOKUP($A27,'Master Data'!$B$3:$B$122,'Master Data'!$C$3:$W$122))-$B27)</f>
        <v>5000</v>
      </c>
      <c r="O27" s="86" cm="1">
        <f t="array" ref="O27">10^3*(_xlfn.XLOOKUP(O$8,'Master Data'!$C$2:$W$2,_xlfn.XLOOKUP($A27,'Master Data'!$B$3:$B$122,'Master Data'!$C$3:$W$122))-$B27)</f>
        <v>5000</v>
      </c>
      <c r="P27" s="86" cm="1">
        <f t="array" ref="P27">10^3*(_xlfn.XLOOKUP(P$8,'Master Data'!$C$2:$W$2,_xlfn.XLOOKUP($A27,'Master Data'!$B$3:$B$122,'Master Data'!$C$3:$W$122))-$B27)</f>
        <v>10000</v>
      </c>
      <c r="Q27" s="86" cm="1">
        <f t="array" ref="Q27">10^3*(_xlfn.XLOOKUP(Q$8,'Master Data'!$C$2:$W$2,_xlfn.XLOOKUP($A27,'Master Data'!$B$3:$B$122,'Master Data'!$C$3:$W$122))-$B27)</f>
        <v>10000</v>
      </c>
      <c r="R27" s="86" cm="1">
        <f t="array" ref="R27">10^3*(_xlfn.XLOOKUP(R$8,'Master Data'!$C$2:$W$2,_xlfn.XLOOKUP($A27,'Master Data'!$B$3:$B$122,'Master Data'!$C$3:$W$122))-$B27)</f>
        <v>10000</v>
      </c>
      <c r="S27" s="86" cm="1">
        <f t="array" ref="S27">10^3*(_xlfn.XLOOKUP(S$8,'Master Data'!$C$2:$W$2,_xlfn.XLOOKUP($A27,'Master Data'!$B$3:$B$122,'Master Data'!$C$3:$W$122))-$B27)</f>
        <v>5000</v>
      </c>
      <c r="T27" s="86" cm="1">
        <f t="array" ref="T27">10^3*(_xlfn.XLOOKUP(T$8,'Master Data'!$C$2:$W$2,_xlfn.XLOOKUP($A27,'Master Data'!$B$3:$B$122,'Master Data'!$C$3:$W$122))-$B27)</f>
        <v>10000</v>
      </c>
      <c r="U27" s="86" cm="1">
        <f t="array" ref="U27">10^3*(_xlfn.XLOOKUP(U$8,'Master Data'!$C$2:$W$2,_xlfn.XLOOKUP($A27,'Master Data'!$B$3:$B$122,'Master Data'!$C$3:$W$122))-$B27)</f>
        <v>10000</v>
      </c>
      <c r="V27" s="86" cm="1">
        <f t="array" ref="V27">10^3*(_xlfn.XLOOKUP(V$8,'Master Data'!$C$2:$W$2,_xlfn.XLOOKUP($A27,'Master Data'!$B$3:$B$122,'Master Data'!$C$3:$W$122))-$B27)</f>
        <v>10000</v>
      </c>
      <c r="W27" s="86" cm="1">
        <f t="array" ref="W27">10^3*(_xlfn.XLOOKUP(W$8,'Master Data'!$C$2:$W$2,_xlfn.XLOOKUP($A27,'Master Data'!$B$3:$B$122,'Master Data'!$C$3:$W$122))-$B27)</f>
        <v>5000</v>
      </c>
      <c r="X27" s="86" cm="1">
        <f t="array" ref="X27">10^3*(_xlfn.XLOOKUP(X$8,'Master Data'!$C$2:$W$2,_xlfn.XLOOKUP($A27,'Master Data'!$B$3:$B$122,'Master Data'!$C$3:$W$122))-$B27)</f>
        <v>5000</v>
      </c>
      <c r="Y27" s="87" cm="1">
        <f t="array" ref="Y27">10^3*(_xlfn.XLOOKUP(Y$8,'Master Data'!$C$2:$W$2,_xlfn.XLOOKUP($A27,'Master Data'!$B$3:$B$122,'Master Data'!$C$3:$W$122))-$B27)</f>
        <v>5000</v>
      </c>
      <c r="Z27" s="87" t="e" cm="1">
        <f t="array" ref="Z27">10^3*(_xlfn.XLOOKUP(Z$8,'Master Data'!$C$2:$W$2,_xlfn.XLOOKUP($A27,'Master Data'!$B$3:$B$122,'Master Data'!$C$3:$W$122))-$B27)</f>
        <v>#N/A</v>
      </c>
      <c r="AA27" s="87" t="e" cm="1">
        <f t="array" ref="AA27">10^3*(_xlfn.XLOOKUP(AA$8,'Master Data'!$C$2:$W$2,_xlfn.XLOOKUP($A27,'Master Data'!$B$3:$B$122,'Master Data'!$C$3:$W$122))-$B27)</f>
        <v>#N/A</v>
      </c>
    </row>
    <row r="28" spans="1:27" s="172" customFormat="1" x14ac:dyDescent="0.25">
      <c r="A28" s="158" t="s">
        <v>201</v>
      </c>
      <c r="B28" s="167">
        <v>75</v>
      </c>
      <c r="C28" s="168" t="b">
        <f>ISNUMBER(_xlfn.XMATCH(A28,'Master Data'!$B$3:$B$122))</f>
        <v>1</v>
      </c>
      <c r="D28" s="168"/>
      <c r="E28" s="169" cm="1">
        <f t="array" ref="E28">10^3*(_xlfn.XLOOKUP(E$8,'Master Data'!$C$2:$W$2,_xlfn.XLOOKUP($A28,'Master Data'!$B$3:$B$122,'Master Data'!$C$3:$W$122))-$B28)</f>
        <v>-75000</v>
      </c>
      <c r="F28" s="170" cm="1">
        <f t="array" ref="F28">10^3*(_xlfn.XLOOKUP(F$8,'Master Data'!$C$2:$W$2,_xlfn.XLOOKUP($A28,'Master Data'!$B$3:$B$122,'Master Data'!$C$3:$W$122))-$B28)</f>
        <v>-75000</v>
      </c>
      <c r="G28" s="170" cm="1">
        <f t="array" ref="G28">10^3*(_xlfn.XLOOKUP(G$8,'Master Data'!$C$2:$W$2,_xlfn.XLOOKUP($A28,'Master Data'!$B$3:$B$122,'Master Data'!$C$3:$W$122))-$B28)</f>
        <v>-75000</v>
      </c>
      <c r="H28" s="170" cm="1">
        <f t="array" ref="H28">10^3*(_xlfn.XLOOKUP(H$8,'Master Data'!$C$2:$W$2,_xlfn.XLOOKUP($A28,'Master Data'!$B$3:$B$122,'Master Data'!$C$3:$W$122))-$B28)</f>
        <v>-75000</v>
      </c>
      <c r="I28" s="170" cm="1">
        <f t="array" ref="I28">10^3*(_xlfn.XLOOKUP(I$8,'Master Data'!$C$2:$W$2,_xlfn.XLOOKUP($A28,'Master Data'!$B$3:$B$122,'Master Data'!$C$3:$W$122))-$B28)</f>
        <v>-75000</v>
      </c>
      <c r="J28" s="170" cm="1">
        <f t="array" ref="J28">10^3*(_xlfn.XLOOKUP(J$8,'Master Data'!$C$2:$W$2,_xlfn.XLOOKUP($A28,'Master Data'!$B$3:$B$122,'Master Data'!$C$3:$W$122))-$B28)</f>
        <v>-75000</v>
      </c>
      <c r="K28" s="170" cm="1">
        <f t="array" ref="K28">10^3*(_xlfn.XLOOKUP(K$8,'Master Data'!$C$2:$W$2,_xlfn.XLOOKUP($A28,'Master Data'!$B$3:$B$122,'Master Data'!$C$3:$W$122))-$B28)</f>
        <v>-75000</v>
      </c>
      <c r="L28" s="170" cm="1">
        <f t="array" ref="L28">10^3*(_xlfn.XLOOKUP(L$8,'Master Data'!$C$2:$W$2,_xlfn.XLOOKUP($A28,'Master Data'!$B$3:$B$122,'Master Data'!$C$3:$W$122))-$B28)</f>
        <v>-75000</v>
      </c>
      <c r="M28" s="170" cm="1">
        <f t="array" ref="M28">10^3*(_xlfn.XLOOKUP(M$8,'Master Data'!$C$2:$W$2,_xlfn.XLOOKUP($A28,'Master Data'!$B$3:$B$122,'Master Data'!$C$3:$W$122))-$B28)</f>
        <v>-75000</v>
      </c>
      <c r="N28" s="170" cm="1">
        <f t="array" ref="N28">10^3*(_xlfn.XLOOKUP(N$8,'Master Data'!$C$2:$W$2,_xlfn.XLOOKUP($A28,'Master Data'!$B$3:$B$122,'Master Data'!$C$3:$W$122))-$B28)</f>
        <v>-75000</v>
      </c>
      <c r="O28" s="170" cm="1">
        <f t="array" ref="O28">10^3*(_xlfn.XLOOKUP(O$8,'Master Data'!$C$2:$W$2,_xlfn.XLOOKUP($A28,'Master Data'!$B$3:$B$122,'Master Data'!$C$3:$W$122))-$B28)</f>
        <v>-75000</v>
      </c>
      <c r="P28" s="170" cm="1">
        <f t="array" ref="P28">10^3*(_xlfn.XLOOKUP(P$8,'Master Data'!$C$2:$W$2,_xlfn.XLOOKUP($A28,'Master Data'!$B$3:$B$122,'Master Data'!$C$3:$W$122))-$B28)</f>
        <v>-75000</v>
      </c>
      <c r="Q28" s="170" cm="1">
        <f t="array" ref="Q28">10^3*(_xlfn.XLOOKUP(Q$8,'Master Data'!$C$2:$W$2,_xlfn.XLOOKUP($A28,'Master Data'!$B$3:$B$122,'Master Data'!$C$3:$W$122))-$B28)</f>
        <v>-75000</v>
      </c>
      <c r="R28" s="170" cm="1">
        <f t="array" ref="R28">10^3*(_xlfn.XLOOKUP(R$8,'Master Data'!$C$2:$W$2,_xlfn.XLOOKUP($A28,'Master Data'!$B$3:$B$122,'Master Data'!$C$3:$W$122))-$B28)</f>
        <v>-75000</v>
      </c>
      <c r="S28" s="170" cm="1">
        <f t="array" ref="S28">10^3*(_xlfn.XLOOKUP(S$8,'Master Data'!$C$2:$W$2,_xlfn.XLOOKUP($A28,'Master Data'!$B$3:$B$122,'Master Data'!$C$3:$W$122))-$B28)</f>
        <v>-75000</v>
      </c>
      <c r="T28" s="170" cm="1">
        <f t="array" ref="T28">10^3*(_xlfn.XLOOKUP(T$8,'Master Data'!$C$2:$W$2,_xlfn.XLOOKUP($A28,'Master Data'!$B$3:$B$122,'Master Data'!$C$3:$W$122))-$B28)</f>
        <v>-75000</v>
      </c>
      <c r="U28" s="170" cm="1">
        <f t="array" ref="U28">10^3*(_xlfn.XLOOKUP(U$8,'Master Data'!$C$2:$W$2,_xlfn.XLOOKUP($A28,'Master Data'!$B$3:$B$122,'Master Data'!$C$3:$W$122))-$B28)</f>
        <v>-75000</v>
      </c>
      <c r="V28" s="170" cm="1">
        <f t="array" ref="V28">10^3*(_xlfn.XLOOKUP(V$8,'Master Data'!$C$2:$W$2,_xlfn.XLOOKUP($A28,'Master Data'!$B$3:$B$122,'Master Data'!$C$3:$W$122))-$B28)</f>
        <v>-75000</v>
      </c>
      <c r="W28" s="170" cm="1">
        <f t="array" ref="W28">10^3*(_xlfn.XLOOKUP(W$8,'Master Data'!$C$2:$W$2,_xlfn.XLOOKUP($A28,'Master Data'!$B$3:$B$122,'Master Data'!$C$3:$W$122))-$B28)</f>
        <v>-75000</v>
      </c>
      <c r="X28" s="170" cm="1">
        <f t="array" ref="X28">10^3*(_xlfn.XLOOKUP(X$8,'Master Data'!$C$2:$W$2,_xlfn.XLOOKUP($A28,'Master Data'!$B$3:$B$122,'Master Data'!$C$3:$W$122))-$B28)</f>
        <v>-75000</v>
      </c>
      <c r="Y28" s="171" cm="1">
        <f t="array" ref="Y28">10^3*(_xlfn.XLOOKUP(Y$8,'Master Data'!$C$2:$W$2,_xlfn.XLOOKUP($A28,'Master Data'!$B$3:$B$122,'Master Data'!$C$3:$W$122))-$B28)</f>
        <v>-75000</v>
      </c>
      <c r="Z28" s="171" t="e" cm="1">
        <f t="array" ref="Z28">10^3*(_xlfn.XLOOKUP(Z$8,'Master Data'!$C$2:$W$2,_xlfn.XLOOKUP($A28,'Master Data'!$B$3:$B$122,'Master Data'!$C$3:$W$122))-$B28)</f>
        <v>#N/A</v>
      </c>
      <c r="AA28" s="171" t="e" cm="1">
        <f t="array" ref="AA28">10^3*(_xlfn.XLOOKUP(AA$8,'Master Data'!$C$2:$W$2,_xlfn.XLOOKUP($A28,'Master Data'!$B$3:$B$122,'Master Data'!$C$3:$W$122))-$B28)</f>
        <v>#N/A</v>
      </c>
    </row>
    <row r="29" spans="1:27" s="172" customFormat="1" x14ac:dyDescent="0.25">
      <c r="A29" s="158" t="s">
        <v>202</v>
      </c>
      <c r="B29" s="167">
        <v>70</v>
      </c>
      <c r="C29" s="168" t="b">
        <f>ISNUMBER(_xlfn.XMATCH(A29,'Master Data'!$B$3:$B$122))</f>
        <v>1</v>
      </c>
      <c r="D29" s="168"/>
      <c r="E29" s="169" cm="1">
        <f t="array" ref="E29">10^3*(_xlfn.XLOOKUP(E$8,'Master Data'!$C$2:$W$2,_xlfn.XLOOKUP($A29,'Master Data'!$B$3:$B$122,'Master Data'!$C$3:$W$122))-$B29)</f>
        <v>-70000</v>
      </c>
      <c r="F29" s="170" cm="1">
        <f t="array" ref="F29">10^3*(_xlfn.XLOOKUP(F$8,'Master Data'!$C$2:$W$2,_xlfn.XLOOKUP($A29,'Master Data'!$B$3:$B$122,'Master Data'!$C$3:$W$122))-$B29)</f>
        <v>-70000</v>
      </c>
      <c r="G29" s="170" cm="1">
        <f t="array" ref="G29">10^3*(_xlfn.XLOOKUP(G$8,'Master Data'!$C$2:$W$2,_xlfn.XLOOKUP($A29,'Master Data'!$B$3:$B$122,'Master Data'!$C$3:$W$122))-$B29)</f>
        <v>-70000</v>
      </c>
      <c r="H29" s="170" cm="1">
        <f t="array" ref="H29">10^3*(_xlfn.XLOOKUP(H$8,'Master Data'!$C$2:$W$2,_xlfn.XLOOKUP($A29,'Master Data'!$B$3:$B$122,'Master Data'!$C$3:$W$122))-$B29)</f>
        <v>-70000</v>
      </c>
      <c r="I29" s="170" cm="1">
        <f t="array" ref="I29">10^3*(_xlfn.XLOOKUP(I$8,'Master Data'!$C$2:$W$2,_xlfn.XLOOKUP($A29,'Master Data'!$B$3:$B$122,'Master Data'!$C$3:$W$122))-$B29)</f>
        <v>-70000</v>
      </c>
      <c r="J29" s="170" cm="1">
        <f t="array" ref="J29">10^3*(_xlfn.XLOOKUP(J$8,'Master Data'!$C$2:$W$2,_xlfn.XLOOKUP($A29,'Master Data'!$B$3:$B$122,'Master Data'!$C$3:$W$122))-$B29)</f>
        <v>-70000</v>
      </c>
      <c r="K29" s="170" cm="1">
        <f t="array" ref="K29">10^3*(_xlfn.XLOOKUP(K$8,'Master Data'!$C$2:$W$2,_xlfn.XLOOKUP($A29,'Master Data'!$B$3:$B$122,'Master Data'!$C$3:$W$122))-$B29)</f>
        <v>-70000</v>
      </c>
      <c r="L29" s="170" cm="1">
        <f t="array" ref="L29">10^3*(_xlfn.XLOOKUP(L$8,'Master Data'!$C$2:$W$2,_xlfn.XLOOKUP($A29,'Master Data'!$B$3:$B$122,'Master Data'!$C$3:$W$122))-$B29)</f>
        <v>-70000</v>
      </c>
      <c r="M29" s="170" cm="1">
        <f t="array" ref="M29">10^3*(_xlfn.XLOOKUP(M$8,'Master Data'!$C$2:$W$2,_xlfn.XLOOKUP($A29,'Master Data'!$B$3:$B$122,'Master Data'!$C$3:$W$122))-$B29)</f>
        <v>-70000</v>
      </c>
      <c r="N29" s="170" cm="1">
        <f t="array" ref="N29">10^3*(_xlfn.XLOOKUP(N$8,'Master Data'!$C$2:$W$2,_xlfn.XLOOKUP($A29,'Master Data'!$B$3:$B$122,'Master Data'!$C$3:$W$122))-$B29)</f>
        <v>-70000</v>
      </c>
      <c r="O29" s="170" cm="1">
        <f t="array" ref="O29">10^3*(_xlfn.XLOOKUP(O$8,'Master Data'!$C$2:$W$2,_xlfn.XLOOKUP($A29,'Master Data'!$B$3:$B$122,'Master Data'!$C$3:$W$122))-$B29)</f>
        <v>-70000</v>
      </c>
      <c r="P29" s="170" cm="1">
        <f t="array" ref="P29">10^3*(_xlfn.XLOOKUP(P$8,'Master Data'!$C$2:$W$2,_xlfn.XLOOKUP($A29,'Master Data'!$B$3:$B$122,'Master Data'!$C$3:$W$122))-$B29)</f>
        <v>-70000</v>
      </c>
      <c r="Q29" s="170" cm="1">
        <f t="array" ref="Q29">10^3*(_xlfn.XLOOKUP(Q$8,'Master Data'!$C$2:$W$2,_xlfn.XLOOKUP($A29,'Master Data'!$B$3:$B$122,'Master Data'!$C$3:$W$122))-$B29)</f>
        <v>-70000</v>
      </c>
      <c r="R29" s="170" cm="1">
        <f t="array" ref="R29">10^3*(_xlfn.XLOOKUP(R$8,'Master Data'!$C$2:$W$2,_xlfn.XLOOKUP($A29,'Master Data'!$B$3:$B$122,'Master Data'!$C$3:$W$122))-$B29)</f>
        <v>-70000</v>
      </c>
      <c r="S29" s="170" cm="1">
        <f t="array" ref="S29">10^3*(_xlfn.XLOOKUP(S$8,'Master Data'!$C$2:$W$2,_xlfn.XLOOKUP($A29,'Master Data'!$B$3:$B$122,'Master Data'!$C$3:$W$122))-$B29)</f>
        <v>-70000</v>
      </c>
      <c r="T29" s="170" cm="1">
        <f t="array" ref="T29">10^3*(_xlfn.XLOOKUP(T$8,'Master Data'!$C$2:$W$2,_xlfn.XLOOKUP($A29,'Master Data'!$B$3:$B$122,'Master Data'!$C$3:$W$122))-$B29)</f>
        <v>-70000</v>
      </c>
      <c r="U29" s="170" cm="1">
        <f t="array" ref="U29">10^3*(_xlfn.XLOOKUP(U$8,'Master Data'!$C$2:$W$2,_xlfn.XLOOKUP($A29,'Master Data'!$B$3:$B$122,'Master Data'!$C$3:$W$122))-$B29)</f>
        <v>-70000</v>
      </c>
      <c r="V29" s="170" cm="1">
        <f t="array" ref="V29">10^3*(_xlfn.XLOOKUP(V$8,'Master Data'!$C$2:$W$2,_xlfn.XLOOKUP($A29,'Master Data'!$B$3:$B$122,'Master Data'!$C$3:$W$122))-$B29)</f>
        <v>-70000</v>
      </c>
      <c r="W29" s="170" cm="1">
        <f t="array" ref="W29">10^3*(_xlfn.XLOOKUP(W$8,'Master Data'!$C$2:$W$2,_xlfn.XLOOKUP($A29,'Master Data'!$B$3:$B$122,'Master Data'!$C$3:$W$122))-$B29)</f>
        <v>-70000</v>
      </c>
      <c r="X29" s="170" cm="1">
        <f t="array" ref="X29">10^3*(_xlfn.XLOOKUP(X$8,'Master Data'!$C$2:$W$2,_xlfn.XLOOKUP($A29,'Master Data'!$B$3:$B$122,'Master Data'!$C$3:$W$122))-$B29)</f>
        <v>-70000</v>
      </c>
      <c r="Y29" s="171" cm="1">
        <f t="array" ref="Y29">10^3*(_xlfn.XLOOKUP(Y$8,'Master Data'!$C$2:$W$2,_xlfn.XLOOKUP($A29,'Master Data'!$B$3:$B$122,'Master Data'!$C$3:$W$122))-$B29)</f>
        <v>-70000</v>
      </c>
      <c r="Z29" s="171" t="e" cm="1">
        <f t="array" ref="Z29">10^3*(_xlfn.XLOOKUP(Z$8,'Master Data'!$C$2:$W$2,_xlfn.XLOOKUP($A29,'Master Data'!$B$3:$B$122,'Master Data'!$C$3:$W$122))-$B29)</f>
        <v>#N/A</v>
      </c>
      <c r="AA29" s="171" t="e" cm="1">
        <f t="array" ref="AA29">10^3*(_xlfn.XLOOKUP(AA$8,'Master Data'!$C$2:$W$2,_xlfn.XLOOKUP($A29,'Master Data'!$B$3:$B$122,'Master Data'!$C$3:$W$122))-$B29)</f>
        <v>#N/A</v>
      </c>
    </row>
    <row r="30" spans="1:27" s="172" customFormat="1" x14ac:dyDescent="0.25">
      <c r="A30" s="173" t="s">
        <v>91</v>
      </c>
      <c r="B30" s="174">
        <v>60</v>
      </c>
      <c r="C30" s="172" t="b">
        <f>ISNUMBER(_xlfn.XMATCH(A30,'Master Data'!$B$3:$B$122))</f>
        <v>1</v>
      </c>
      <c r="E30" s="175" cm="1">
        <f t="array" ref="E30">10^3*(_xlfn.XLOOKUP(E$8,'Master Data'!$C$2:$W$2,_xlfn.XLOOKUP($A30,'Master Data'!$B$3:$B$122,'Master Data'!$C$3:$W$122))-$B30)</f>
        <v>10000</v>
      </c>
      <c r="F30" s="176" cm="1">
        <f t="array" ref="F30">10^3*(_xlfn.XLOOKUP(F$8,'Master Data'!$C$2:$W$2,_xlfn.XLOOKUP($A30,'Master Data'!$B$3:$B$122,'Master Data'!$C$3:$W$122))-$B30)</f>
        <v>10000</v>
      </c>
      <c r="G30" s="176" cm="1">
        <f t="array" ref="G30">10^3*(_xlfn.XLOOKUP(G$8,'Master Data'!$C$2:$W$2,_xlfn.XLOOKUP($A30,'Master Data'!$B$3:$B$122,'Master Data'!$C$3:$W$122))-$B30)</f>
        <v>5000</v>
      </c>
      <c r="H30" s="176" cm="1">
        <f t="array" ref="H30">10^3*(_xlfn.XLOOKUP(H$8,'Master Data'!$C$2:$W$2,_xlfn.XLOOKUP($A30,'Master Data'!$B$3:$B$122,'Master Data'!$C$3:$W$122))-$B30)</f>
        <v>5000</v>
      </c>
      <c r="I30" s="176" cm="1">
        <f t="array" ref="I30">10^3*(_xlfn.XLOOKUP(I$8,'Master Data'!$C$2:$W$2,_xlfn.XLOOKUP($A30,'Master Data'!$B$3:$B$122,'Master Data'!$C$3:$W$122))-$B30)</f>
        <v>5000</v>
      </c>
      <c r="J30" s="176" cm="1">
        <f t="array" ref="J30">10^3*(_xlfn.XLOOKUP(J$8,'Master Data'!$C$2:$W$2,_xlfn.XLOOKUP($A30,'Master Data'!$B$3:$B$122,'Master Data'!$C$3:$W$122))-$B30)</f>
        <v>5000</v>
      </c>
      <c r="K30" s="176" cm="1">
        <f t="array" ref="K30">10^3*(_xlfn.XLOOKUP(K$8,'Master Data'!$C$2:$W$2,_xlfn.XLOOKUP($A30,'Master Data'!$B$3:$B$122,'Master Data'!$C$3:$W$122))-$B30)</f>
        <v>5000</v>
      </c>
      <c r="L30" s="176" cm="1">
        <f t="array" ref="L30">10^3*(_xlfn.XLOOKUP(L$8,'Master Data'!$C$2:$W$2,_xlfn.XLOOKUP($A30,'Master Data'!$B$3:$B$122,'Master Data'!$C$3:$W$122))-$B30)</f>
        <v>5000</v>
      </c>
      <c r="M30" s="176" cm="1">
        <f t="array" ref="M30">10^3*(_xlfn.XLOOKUP(M$8,'Master Data'!$C$2:$W$2,_xlfn.XLOOKUP($A30,'Master Data'!$B$3:$B$122,'Master Data'!$C$3:$W$122))-$B30)</f>
        <v>5000</v>
      </c>
      <c r="N30" s="176" cm="1">
        <f t="array" ref="N30">10^3*(_xlfn.XLOOKUP(N$8,'Master Data'!$C$2:$W$2,_xlfn.XLOOKUP($A30,'Master Data'!$B$3:$B$122,'Master Data'!$C$3:$W$122))-$B30)</f>
        <v>5000</v>
      </c>
      <c r="O30" s="176" cm="1">
        <f t="array" ref="O30">10^3*(_xlfn.XLOOKUP(O$8,'Master Data'!$C$2:$W$2,_xlfn.XLOOKUP($A30,'Master Data'!$B$3:$B$122,'Master Data'!$C$3:$W$122))-$B30)</f>
        <v>5000</v>
      </c>
      <c r="P30" s="176" cm="1">
        <f t="array" ref="P30">10^3*(_xlfn.XLOOKUP(P$8,'Master Data'!$C$2:$W$2,_xlfn.XLOOKUP($A30,'Master Data'!$B$3:$B$122,'Master Data'!$C$3:$W$122))-$B30)</f>
        <v>10000</v>
      </c>
      <c r="Q30" s="176" cm="1">
        <f t="array" ref="Q30">10^3*(_xlfn.XLOOKUP(Q$8,'Master Data'!$C$2:$W$2,_xlfn.XLOOKUP($A30,'Master Data'!$B$3:$B$122,'Master Data'!$C$3:$W$122))-$B30)</f>
        <v>10000</v>
      </c>
      <c r="R30" s="176" cm="1">
        <f t="array" ref="R30">10^3*(_xlfn.XLOOKUP(R$8,'Master Data'!$C$2:$W$2,_xlfn.XLOOKUP($A30,'Master Data'!$B$3:$B$122,'Master Data'!$C$3:$W$122))-$B30)</f>
        <v>10000</v>
      </c>
      <c r="S30" s="176" cm="1">
        <f t="array" ref="S30">10^3*(_xlfn.XLOOKUP(S$8,'Master Data'!$C$2:$W$2,_xlfn.XLOOKUP($A30,'Master Data'!$B$3:$B$122,'Master Data'!$C$3:$W$122))-$B30)</f>
        <v>5000</v>
      </c>
      <c r="T30" s="176" cm="1">
        <f t="array" ref="T30">10^3*(_xlfn.XLOOKUP(T$8,'Master Data'!$C$2:$W$2,_xlfn.XLOOKUP($A30,'Master Data'!$B$3:$B$122,'Master Data'!$C$3:$W$122))-$B30)</f>
        <v>10000</v>
      </c>
      <c r="U30" s="176" cm="1">
        <f t="array" ref="U30">10^3*(_xlfn.XLOOKUP(U$8,'Master Data'!$C$2:$W$2,_xlfn.XLOOKUP($A30,'Master Data'!$B$3:$B$122,'Master Data'!$C$3:$W$122))-$B30)</f>
        <v>10000</v>
      </c>
      <c r="V30" s="176" cm="1">
        <f t="array" ref="V30">10^3*(_xlfn.XLOOKUP(V$8,'Master Data'!$C$2:$W$2,_xlfn.XLOOKUP($A30,'Master Data'!$B$3:$B$122,'Master Data'!$C$3:$W$122))-$B30)</f>
        <v>10000</v>
      </c>
      <c r="W30" s="176" cm="1">
        <f t="array" ref="W30">10^3*(_xlfn.XLOOKUP(W$8,'Master Data'!$C$2:$W$2,_xlfn.XLOOKUP($A30,'Master Data'!$B$3:$B$122,'Master Data'!$C$3:$W$122))-$B30)</f>
        <v>5000</v>
      </c>
      <c r="X30" s="176" cm="1">
        <f t="array" ref="X30">10^3*(_xlfn.XLOOKUP(X$8,'Master Data'!$C$2:$W$2,_xlfn.XLOOKUP($A30,'Master Data'!$B$3:$B$122,'Master Data'!$C$3:$W$122))-$B30)</f>
        <v>5000</v>
      </c>
      <c r="Y30" s="177" cm="1">
        <f t="array" ref="Y30">10^3*(_xlfn.XLOOKUP(Y$8,'Master Data'!$C$2:$W$2,_xlfn.XLOOKUP($A30,'Master Data'!$B$3:$B$122,'Master Data'!$C$3:$W$122))-$B30)</f>
        <v>5000</v>
      </c>
      <c r="Z30" s="177" t="e" cm="1">
        <f t="array" ref="Z30">10^3*(_xlfn.XLOOKUP(Z$8,'Master Data'!$C$2:$W$2,_xlfn.XLOOKUP($A30,'Master Data'!$B$3:$B$122,'Master Data'!$C$3:$W$122))-$B30)</f>
        <v>#N/A</v>
      </c>
      <c r="AA30" s="177" t="e" cm="1">
        <f t="array" ref="AA30">10^3*(_xlfn.XLOOKUP(AA$8,'Master Data'!$C$2:$W$2,_xlfn.XLOOKUP($A30,'Master Data'!$B$3:$B$122,'Master Data'!$C$3:$W$122))-$B30)</f>
        <v>#N/A</v>
      </c>
    </row>
    <row r="31" spans="1:27" s="172" customFormat="1" x14ac:dyDescent="0.25">
      <c r="A31" s="173" t="s">
        <v>92</v>
      </c>
      <c r="B31" s="174">
        <v>70</v>
      </c>
      <c r="C31" s="172" t="b">
        <f>ISNUMBER(_xlfn.XMATCH(A31,'Master Data'!$B$3:$B$122))</f>
        <v>1</v>
      </c>
      <c r="E31" s="175" cm="1">
        <f t="array" ref="E31">10^3*(_xlfn.XLOOKUP(E$8,'Master Data'!$C$2:$W$2,_xlfn.XLOOKUP($A31,'Master Data'!$B$3:$B$122,'Master Data'!$C$3:$W$122))-$B31)</f>
        <v>10000</v>
      </c>
      <c r="F31" s="176" cm="1">
        <f t="array" ref="F31">10^3*(_xlfn.XLOOKUP(F$8,'Master Data'!$C$2:$W$2,_xlfn.XLOOKUP($A31,'Master Data'!$B$3:$B$122,'Master Data'!$C$3:$W$122))-$B31)</f>
        <v>10000</v>
      </c>
      <c r="G31" s="176" cm="1">
        <f t="array" ref="G31">10^3*(_xlfn.XLOOKUP(G$8,'Master Data'!$C$2:$W$2,_xlfn.XLOOKUP($A31,'Master Data'!$B$3:$B$122,'Master Data'!$C$3:$W$122))-$B31)</f>
        <v>10000</v>
      </c>
      <c r="H31" s="176" cm="1">
        <f t="array" ref="H31">10^3*(_xlfn.XLOOKUP(H$8,'Master Data'!$C$2:$W$2,_xlfn.XLOOKUP($A31,'Master Data'!$B$3:$B$122,'Master Data'!$C$3:$W$122))-$B31)</f>
        <v>10000</v>
      </c>
      <c r="I31" s="176" cm="1">
        <f t="array" ref="I31">10^3*(_xlfn.XLOOKUP(I$8,'Master Data'!$C$2:$W$2,_xlfn.XLOOKUP($A31,'Master Data'!$B$3:$B$122,'Master Data'!$C$3:$W$122))-$B31)</f>
        <v>10000</v>
      </c>
      <c r="J31" s="176" cm="1">
        <f t="array" ref="J31">10^3*(_xlfn.XLOOKUP(J$8,'Master Data'!$C$2:$W$2,_xlfn.XLOOKUP($A31,'Master Data'!$B$3:$B$122,'Master Data'!$C$3:$W$122))-$B31)</f>
        <v>10000</v>
      </c>
      <c r="K31" s="176" cm="1">
        <f t="array" ref="K31">10^3*(_xlfn.XLOOKUP(K$8,'Master Data'!$C$2:$W$2,_xlfn.XLOOKUP($A31,'Master Data'!$B$3:$B$122,'Master Data'!$C$3:$W$122))-$B31)</f>
        <v>10000</v>
      </c>
      <c r="L31" s="176" cm="1">
        <f t="array" ref="L31">10^3*(_xlfn.XLOOKUP(L$8,'Master Data'!$C$2:$W$2,_xlfn.XLOOKUP($A31,'Master Data'!$B$3:$B$122,'Master Data'!$C$3:$W$122))-$B31)</f>
        <v>10000</v>
      </c>
      <c r="M31" s="176" cm="1">
        <f t="array" ref="M31">10^3*(_xlfn.XLOOKUP(M$8,'Master Data'!$C$2:$W$2,_xlfn.XLOOKUP($A31,'Master Data'!$B$3:$B$122,'Master Data'!$C$3:$W$122))-$B31)</f>
        <v>10000</v>
      </c>
      <c r="N31" s="176" cm="1">
        <f t="array" ref="N31">10^3*(_xlfn.XLOOKUP(N$8,'Master Data'!$C$2:$W$2,_xlfn.XLOOKUP($A31,'Master Data'!$B$3:$B$122,'Master Data'!$C$3:$W$122))-$B31)</f>
        <v>10000</v>
      </c>
      <c r="O31" s="176" cm="1">
        <f t="array" ref="O31">10^3*(_xlfn.XLOOKUP(O$8,'Master Data'!$C$2:$W$2,_xlfn.XLOOKUP($A31,'Master Data'!$B$3:$B$122,'Master Data'!$C$3:$W$122))-$B31)</f>
        <v>10000</v>
      </c>
      <c r="P31" s="176" cm="1">
        <f t="array" ref="P31">10^3*(_xlfn.XLOOKUP(P$8,'Master Data'!$C$2:$W$2,_xlfn.XLOOKUP($A31,'Master Data'!$B$3:$B$122,'Master Data'!$C$3:$W$122))-$B31)</f>
        <v>10000</v>
      </c>
      <c r="Q31" s="176" cm="1">
        <f t="array" ref="Q31">10^3*(_xlfn.XLOOKUP(Q$8,'Master Data'!$C$2:$W$2,_xlfn.XLOOKUP($A31,'Master Data'!$B$3:$B$122,'Master Data'!$C$3:$W$122))-$B31)</f>
        <v>10000</v>
      </c>
      <c r="R31" s="176" cm="1">
        <f t="array" ref="R31">10^3*(_xlfn.XLOOKUP(R$8,'Master Data'!$C$2:$W$2,_xlfn.XLOOKUP($A31,'Master Data'!$B$3:$B$122,'Master Data'!$C$3:$W$122))-$B31)</f>
        <v>10000</v>
      </c>
      <c r="S31" s="176" cm="1">
        <f t="array" ref="S31">10^3*(_xlfn.XLOOKUP(S$8,'Master Data'!$C$2:$W$2,_xlfn.XLOOKUP($A31,'Master Data'!$B$3:$B$122,'Master Data'!$C$3:$W$122))-$B31)</f>
        <v>10000</v>
      </c>
      <c r="T31" s="176" cm="1">
        <f t="array" ref="T31">10^3*(_xlfn.XLOOKUP(T$8,'Master Data'!$C$2:$W$2,_xlfn.XLOOKUP($A31,'Master Data'!$B$3:$B$122,'Master Data'!$C$3:$W$122))-$B31)</f>
        <v>10000</v>
      </c>
      <c r="U31" s="176" cm="1">
        <f t="array" ref="U31">10^3*(_xlfn.XLOOKUP(U$8,'Master Data'!$C$2:$W$2,_xlfn.XLOOKUP($A31,'Master Data'!$B$3:$B$122,'Master Data'!$C$3:$W$122))-$B31)</f>
        <v>10000</v>
      </c>
      <c r="V31" s="176" cm="1">
        <f t="array" ref="V31">10^3*(_xlfn.XLOOKUP(V$8,'Master Data'!$C$2:$W$2,_xlfn.XLOOKUP($A31,'Master Data'!$B$3:$B$122,'Master Data'!$C$3:$W$122))-$B31)</f>
        <v>10000</v>
      </c>
      <c r="W31" s="176" cm="1">
        <f t="array" ref="W31">10^3*(_xlfn.XLOOKUP(W$8,'Master Data'!$C$2:$W$2,_xlfn.XLOOKUP($A31,'Master Data'!$B$3:$B$122,'Master Data'!$C$3:$W$122))-$B31)</f>
        <v>10000</v>
      </c>
      <c r="X31" s="176" cm="1">
        <f t="array" ref="X31">10^3*(_xlfn.XLOOKUP(X$8,'Master Data'!$C$2:$W$2,_xlfn.XLOOKUP($A31,'Master Data'!$B$3:$B$122,'Master Data'!$C$3:$W$122))-$B31)</f>
        <v>10000</v>
      </c>
      <c r="Y31" s="177" cm="1">
        <f t="array" ref="Y31">10^3*(_xlfn.XLOOKUP(Y$8,'Master Data'!$C$2:$W$2,_xlfn.XLOOKUP($A31,'Master Data'!$B$3:$B$122,'Master Data'!$C$3:$W$122))-$B31)</f>
        <v>10000</v>
      </c>
      <c r="Z31" s="177" t="e" cm="1">
        <f t="array" ref="Z31">10^3*(_xlfn.XLOOKUP(Z$8,'Master Data'!$C$2:$W$2,_xlfn.XLOOKUP($A31,'Master Data'!$B$3:$B$122,'Master Data'!$C$3:$W$122))-$B31)</f>
        <v>#N/A</v>
      </c>
      <c r="AA31" s="177" t="e" cm="1">
        <f t="array" ref="AA31">10^3*(_xlfn.XLOOKUP(AA$8,'Master Data'!$C$2:$W$2,_xlfn.XLOOKUP($A31,'Master Data'!$B$3:$B$122,'Master Data'!$C$3:$W$122))-$B31)</f>
        <v>#N/A</v>
      </c>
    </row>
    <row r="32" spans="1:27" s="172" customFormat="1" x14ac:dyDescent="0.25">
      <c r="A32" s="173" t="s">
        <v>93</v>
      </c>
      <c r="B32" s="174">
        <v>70</v>
      </c>
      <c r="C32" s="172" t="b">
        <f>ISNUMBER(_xlfn.XMATCH(A32,'Master Data'!$B$3:$B$122))</f>
        <v>1</v>
      </c>
      <c r="E32" s="175" cm="1">
        <f t="array" ref="E32">10^3*(_xlfn.XLOOKUP(E$8,'Master Data'!$C$2:$W$2,_xlfn.XLOOKUP($A32,'Master Data'!$B$3:$B$122,'Master Data'!$C$3:$W$122))-$B32)</f>
        <v>10000</v>
      </c>
      <c r="F32" s="176" cm="1">
        <f t="array" ref="F32">10^3*(_xlfn.XLOOKUP(F$8,'Master Data'!$C$2:$W$2,_xlfn.XLOOKUP($A32,'Master Data'!$B$3:$B$122,'Master Data'!$C$3:$W$122))-$B32)</f>
        <v>10000</v>
      </c>
      <c r="G32" s="176" cm="1">
        <f t="array" ref="G32">10^3*(_xlfn.XLOOKUP(G$8,'Master Data'!$C$2:$W$2,_xlfn.XLOOKUP($A32,'Master Data'!$B$3:$B$122,'Master Data'!$C$3:$W$122))-$B32)</f>
        <v>8000</v>
      </c>
      <c r="H32" s="176" cm="1">
        <f t="array" ref="H32">10^3*(_xlfn.XLOOKUP(H$8,'Master Data'!$C$2:$W$2,_xlfn.XLOOKUP($A32,'Master Data'!$B$3:$B$122,'Master Data'!$C$3:$W$122))-$B32)</f>
        <v>8000</v>
      </c>
      <c r="I32" s="176" cm="1">
        <f t="array" ref="I32">10^3*(_xlfn.XLOOKUP(I$8,'Master Data'!$C$2:$W$2,_xlfn.XLOOKUP($A32,'Master Data'!$B$3:$B$122,'Master Data'!$C$3:$W$122))-$B32)</f>
        <v>8000</v>
      </c>
      <c r="J32" s="176" cm="1">
        <f t="array" ref="J32">10^3*(_xlfn.XLOOKUP(J$8,'Master Data'!$C$2:$W$2,_xlfn.XLOOKUP($A32,'Master Data'!$B$3:$B$122,'Master Data'!$C$3:$W$122))-$B32)</f>
        <v>8000</v>
      </c>
      <c r="K32" s="176" cm="1">
        <f t="array" ref="K32">10^3*(_xlfn.XLOOKUP(K$8,'Master Data'!$C$2:$W$2,_xlfn.XLOOKUP($A32,'Master Data'!$B$3:$B$122,'Master Data'!$C$3:$W$122))-$B32)</f>
        <v>8000</v>
      </c>
      <c r="L32" s="176" cm="1">
        <f t="array" ref="L32">10^3*(_xlfn.XLOOKUP(L$8,'Master Data'!$C$2:$W$2,_xlfn.XLOOKUP($A32,'Master Data'!$B$3:$B$122,'Master Data'!$C$3:$W$122))-$B32)</f>
        <v>8000</v>
      </c>
      <c r="M32" s="176" cm="1">
        <f t="array" ref="M32">10^3*(_xlfn.XLOOKUP(M$8,'Master Data'!$C$2:$W$2,_xlfn.XLOOKUP($A32,'Master Data'!$B$3:$B$122,'Master Data'!$C$3:$W$122))-$B32)</f>
        <v>8000</v>
      </c>
      <c r="N32" s="176" cm="1">
        <f t="array" ref="N32">10^3*(_xlfn.XLOOKUP(N$8,'Master Data'!$C$2:$W$2,_xlfn.XLOOKUP($A32,'Master Data'!$B$3:$B$122,'Master Data'!$C$3:$W$122))-$B32)</f>
        <v>8000</v>
      </c>
      <c r="O32" s="176" cm="1">
        <f t="array" ref="O32">10^3*(_xlfn.XLOOKUP(O$8,'Master Data'!$C$2:$W$2,_xlfn.XLOOKUP($A32,'Master Data'!$B$3:$B$122,'Master Data'!$C$3:$W$122))-$B32)</f>
        <v>8000</v>
      </c>
      <c r="P32" s="176" cm="1">
        <f t="array" ref="P32">10^3*(_xlfn.XLOOKUP(P$8,'Master Data'!$C$2:$W$2,_xlfn.XLOOKUP($A32,'Master Data'!$B$3:$B$122,'Master Data'!$C$3:$W$122))-$B32)</f>
        <v>10000</v>
      </c>
      <c r="Q32" s="176" cm="1">
        <f t="array" ref="Q32">10^3*(_xlfn.XLOOKUP(Q$8,'Master Data'!$C$2:$W$2,_xlfn.XLOOKUP($A32,'Master Data'!$B$3:$B$122,'Master Data'!$C$3:$W$122))-$B32)</f>
        <v>10000</v>
      </c>
      <c r="R32" s="176" cm="1">
        <f t="array" ref="R32">10^3*(_xlfn.XLOOKUP(R$8,'Master Data'!$C$2:$W$2,_xlfn.XLOOKUP($A32,'Master Data'!$B$3:$B$122,'Master Data'!$C$3:$W$122))-$B32)</f>
        <v>10000</v>
      </c>
      <c r="S32" s="176" cm="1">
        <f t="array" ref="S32">10^3*(_xlfn.XLOOKUP(S$8,'Master Data'!$C$2:$W$2,_xlfn.XLOOKUP($A32,'Master Data'!$B$3:$B$122,'Master Data'!$C$3:$W$122))-$B32)</f>
        <v>8000</v>
      </c>
      <c r="T32" s="176" cm="1">
        <f t="array" ref="T32">10^3*(_xlfn.XLOOKUP(T$8,'Master Data'!$C$2:$W$2,_xlfn.XLOOKUP($A32,'Master Data'!$B$3:$B$122,'Master Data'!$C$3:$W$122))-$B32)</f>
        <v>10000</v>
      </c>
      <c r="U32" s="176" cm="1">
        <f t="array" ref="U32">10^3*(_xlfn.XLOOKUP(U$8,'Master Data'!$C$2:$W$2,_xlfn.XLOOKUP($A32,'Master Data'!$B$3:$B$122,'Master Data'!$C$3:$W$122))-$B32)</f>
        <v>10000</v>
      </c>
      <c r="V32" s="176" cm="1">
        <f t="array" ref="V32">10^3*(_xlfn.XLOOKUP(V$8,'Master Data'!$C$2:$W$2,_xlfn.XLOOKUP($A32,'Master Data'!$B$3:$B$122,'Master Data'!$C$3:$W$122))-$B32)</f>
        <v>10000</v>
      </c>
      <c r="W32" s="176" cm="1">
        <f t="array" ref="W32">10^3*(_xlfn.XLOOKUP(W$8,'Master Data'!$C$2:$W$2,_xlfn.XLOOKUP($A32,'Master Data'!$B$3:$B$122,'Master Data'!$C$3:$W$122))-$B32)</f>
        <v>8000</v>
      </c>
      <c r="X32" s="176" cm="1">
        <f t="array" ref="X32">10^3*(_xlfn.XLOOKUP(X$8,'Master Data'!$C$2:$W$2,_xlfn.XLOOKUP($A32,'Master Data'!$B$3:$B$122,'Master Data'!$C$3:$W$122))-$B32)</f>
        <v>8000</v>
      </c>
      <c r="Y32" s="177" cm="1">
        <f t="array" ref="Y32">10^3*(_xlfn.XLOOKUP(Y$8,'Master Data'!$C$2:$W$2,_xlfn.XLOOKUP($A32,'Master Data'!$B$3:$B$122,'Master Data'!$C$3:$W$122))-$B32)</f>
        <v>8000</v>
      </c>
      <c r="Z32" s="177" t="e" cm="1">
        <f t="array" ref="Z32">10^3*(_xlfn.XLOOKUP(Z$8,'Master Data'!$C$2:$W$2,_xlfn.XLOOKUP($A32,'Master Data'!$B$3:$B$122,'Master Data'!$C$3:$W$122))-$B32)</f>
        <v>#N/A</v>
      </c>
      <c r="AA32" s="177" t="e" cm="1">
        <f t="array" ref="AA32">10^3*(_xlfn.XLOOKUP(AA$8,'Master Data'!$C$2:$W$2,_xlfn.XLOOKUP($A32,'Master Data'!$B$3:$B$122,'Master Data'!$C$3:$W$122))-$B32)</f>
        <v>#N/A</v>
      </c>
    </row>
    <row r="33" spans="1:27" s="172" customFormat="1" x14ac:dyDescent="0.25">
      <c r="A33" s="173" t="s">
        <v>94</v>
      </c>
      <c r="B33" s="174">
        <v>70</v>
      </c>
      <c r="C33" s="172" t="b">
        <f>ISNUMBER(_xlfn.XMATCH(A33,'Master Data'!$B$3:$B$122))</f>
        <v>1</v>
      </c>
      <c r="E33" s="175" cm="1">
        <f t="array" ref="E33">10^3*(_xlfn.XLOOKUP(E$8,'Master Data'!$C$2:$W$2,_xlfn.XLOOKUP($A33,'Master Data'!$B$3:$B$122,'Master Data'!$C$3:$W$122))-$B33)</f>
        <v>10000</v>
      </c>
      <c r="F33" s="176" cm="1">
        <f t="array" ref="F33">10^3*(_xlfn.XLOOKUP(F$8,'Master Data'!$C$2:$W$2,_xlfn.XLOOKUP($A33,'Master Data'!$B$3:$B$122,'Master Data'!$C$3:$W$122))-$B33)</f>
        <v>10000</v>
      </c>
      <c r="G33" s="176" cm="1">
        <f t="array" ref="G33">10^3*(_xlfn.XLOOKUP(G$8,'Master Data'!$C$2:$W$2,_xlfn.XLOOKUP($A33,'Master Data'!$B$3:$B$122,'Master Data'!$C$3:$W$122))-$B33)</f>
        <v>8000</v>
      </c>
      <c r="H33" s="176" cm="1">
        <f t="array" ref="H33">10^3*(_xlfn.XLOOKUP(H$8,'Master Data'!$C$2:$W$2,_xlfn.XLOOKUP($A33,'Master Data'!$B$3:$B$122,'Master Data'!$C$3:$W$122))-$B33)</f>
        <v>8000</v>
      </c>
      <c r="I33" s="176" cm="1">
        <f t="array" ref="I33">10^3*(_xlfn.XLOOKUP(I$8,'Master Data'!$C$2:$W$2,_xlfn.XLOOKUP($A33,'Master Data'!$B$3:$B$122,'Master Data'!$C$3:$W$122))-$B33)</f>
        <v>8000</v>
      </c>
      <c r="J33" s="176" cm="1">
        <f t="array" ref="J33">10^3*(_xlfn.XLOOKUP(J$8,'Master Data'!$C$2:$W$2,_xlfn.XLOOKUP($A33,'Master Data'!$B$3:$B$122,'Master Data'!$C$3:$W$122))-$B33)</f>
        <v>8000</v>
      </c>
      <c r="K33" s="176" cm="1">
        <f t="array" ref="K33">10^3*(_xlfn.XLOOKUP(K$8,'Master Data'!$C$2:$W$2,_xlfn.XLOOKUP($A33,'Master Data'!$B$3:$B$122,'Master Data'!$C$3:$W$122))-$B33)</f>
        <v>8000</v>
      </c>
      <c r="L33" s="176" cm="1">
        <f t="array" ref="L33">10^3*(_xlfn.XLOOKUP(L$8,'Master Data'!$C$2:$W$2,_xlfn.XLOOKUP($A33,'Master Data'!$B$3:$B$122,'Master Data'!$C$3:$W$122))-$B33)</f>
        <v>8000</v>
      </c>
      <c r="M33" s="176" cm="1">
        <f t="array" ref="M33">10^3*(_xlfn.XLOOKUP(M$8,'Master Data'!$C$2:$W$2,_xlfn.XLOOKUP($A33,'Master Data'!$B$3:$B$122,'Master Data'!$C$3:$W$122))-$B33)</f>
        <v>8000</v>
      </c>
      <c r="N33" s="176" cm="1">
        <f t="array" ref="N33">10^3*(_xlfn.XLOOKUP(N$8,'Master Data'!$C$2:$W$2,_xlfn.XLOOKUP($A33,'Master Data'!$B$3:$B$122,'Master Data'!$C$3:$W$122))-$B33)</f>
        <v>8000</v>
      </c>
      <c r="O33" s="176" cm="1">
        <f t="array" ref="O33">10^3*(_xlfn.XLOOKUP(O$8,'Master Data'!$C$2:$W$2,_xlfn.XLOOKUP($A33,'Master Data'!$B$3:$B$122,'Master Data'!$C$3:$W$122))-$B33)</f>
        <v>8000</v>
      </c>
      <c r="P33" s="176" cm="1">
        <f t="array" ref="P33">10^3*(_xlfn.XLOOKUP(P$8,'Master Data'!$C$2:$W$2,_xlfn.XLOOKUP($A33,'Master Data'!$B$3:$B$122,'Master Data'!$C$3:$W$122))-$B33)</f>
        <v>10000</v>
      </c>
      <c r="Q33" s="176" cm="1">
        <f t="array" ref="Q33">10^3*(_xlfn.XLOOKUP(Q$8,'Master Data'!$C$2:$W$2,_xlfn.XLOOKUP($A33,'Master Data'!$B$3:$B$122,'Master Data'!$C$3:$W$122))-$B33)</f>
        <v>10000</v>
      </c>
      <c r="R33" s="176" cm="1">
        <f t="array" ref="R33">10^3*(_xlfn.XLOOKUP(R$8,'Master Data'!$C$2:$W$2,_xlfn.XLOOKUP($A33,'Master Data'!$B$3:$B$122,'Master Data'!$C$3:$W$122))-$B33)</f>
        <v>10000</v>
      </c>
      <c r="S33" s="176" cm="1">
        <f t="array" ref="S33">10^3*(_xlfn.XLOOKUP(S$8,'Master Data'!$C$2:$W$2,_xlfn.XLOOKUP($A33,'Master Data'!$B$3:$B$122,'Master Data'!$C$3:$W$122))-$B33)</f>
        <v>8000</v>
      </c>
      <c r="T33" s="176" cm="1">
        <f t="array" ref="T33">10^3*(_xlfn.XLOOKUP(T$8,'Master Data'!$C$2:$W$2,_xlfn.XLOOKUP($A33,'Master Data'!$B$3:$B$122,'Master Data'!$C$3:$W$122))-$B33)</f>
        <v>10000</v>
      </c>
      <c r="U33" s="176" cm="1">
        <f t="array" ref="U33">10^3*(_xlfn.XLOOKUP(U$8,'Master Data'!$C$2:$W$2,_xlfn.XLOOKUP($A33,'Master Data'!$B$3:$B$122,'Master Data'!$C$3:$W$122))-$B33)</f>
        <v>10000</v>
      </c>
      <c r="V33" s="176" cm="1">
        <f t="array" ref="V33">10^3*(_xlfn.XLOOKUP(V$8,'Master Data'!$C$2:$W$2,_xlfn.XLOOKUP($A33,'Master Data'!$B$3:$B$122,'Master Data'!$C$3:$W$122))-$B33)</f>
        <v>10000</v>
      </c>
      <c r="W33" s="176" cm="1">
        <f t="array" ref="W33">10^3*(_xlfn.XLOOKUP(W$8,'Master Data'!$C$2:$W$2,_xlfn.XLOOKUP($A33,'Master Data'!$B$3:$B$122,'Master Data'!$C$3:$W$122))-$B33)</f>
        <v>8000</v>
      </c>
      <c r="X33" s="176" cm="1">
        <f t="array" ref="X33">10^3*(_xlfn.XLOOKUP(X$8,'Master Data'!$C$2:$W$2,_xlfn.XLOOKUP($A33,'Master Data'!$B$3:$B$122,'Master Data'!$C$3:$W$122))-$B33)</f>
        <v>8000</v>
      </c>
      <c r="Y33" s="177" cm="1">
        <f t="array" ref="Y33">10^3*(_xlfn.XLOOKUP(Y$8,'Master Data'!$C$2:$W$2,_xlfn.XLOOKUP($A33,'Master Data'!$B$3:$B$122,'Master Data'!$C$3:$W$122))-$B33)</f>
        <v>8000</v>
      </c>
      <c r="Z33" s="177" t="e" cm="1">
        <f t="array" ref="Z33">10^3*(_xlfn.XLOOKUP(Z$8,'Master Data'!$C$2:$W$2,_xlfn.XLOOKUP($A33,'Master Data'!$B$3:$B$122,'Master Data'!$C$3:$W$122))-$B33)</f>
        <v>#N/A</v>
      </c>
      <c r="AA33" s="177" t="e" cm="1">
        <f t="array" ref="AA33">10^3*(_xlfn.XLOOKUP(AA$8,'Master Data'!$C$2:$W$2,_xlfn.XLOOKUP($A33,'Master Data'!$B$3:$B$122,'Master Data'!$C$3:$W$122))-$B33)</f>
        <v>#N/A</v>
      </c>
    </row>
    <row r="34" spans="1:27" s="172" customFormat="1" x14ac:dyDescent="0.25">
      <c r="A34" s="173" t="s">
        <v>95</v>
      </c>
      <c r="B34" s="174">
        <v>70</v>
      </c>
      <c r="C34" s="172" t="b">
        <f>ISNUMBER(_xlfn.XMATCH(A34,'Master Data'!$B$3:$B$122))</f>
        <v>1</v>
      </c>
      <c r="E34" s="175" cm="1">
        <f t="array" ref="E34">10^3*(_xlfn.XLOOKUP(E$8,'Master Data'!$C$2:$W$2,_xlfn.XLOOKUP($A34,'Master Data'!$B$3:$B$122,'Master Data'!$C$3:$W$122))-$B34)</f>
        <v>10000</v>
      </c>
      <c r="F34" s="176" cm="1">
        <f t="array" ref="F34">10^3*(_xlfn.XLOOKUP(F$8,'Master Data'!$C$2:$W$2,_xlfn.XLOOKUP($A34,'Master Data'!$B$3:$B$122,'Master Data'!$C$3:$W$122))-$B34)</f>
        <v>10000</v>
      </c>
      <c r="G34" s="176" cm="1">
        <f t="array" ref="G34">10^3*(_xlfn.XLOOKUP(G$8,'Master Data'!$C$2:$W$2,_xlfn.XLOOKUP($A34,'Master Data'!$B$3:$B$122,'Master Data'!$C$3:$W$122))-$B34)</f>
        <v>10000</v>
      </c>
      <c r="H34" s="176" cm="1">
        <f t="array" ref="H34">10^3*(_xlfn.XLOOKUP(H$8,'Master Data'!$C$2:$W$2,_xlfn.XLOOKUP($A34,'Master Data'!$B$3:$B$122,'Master Data'!$C$3:$W$122))-$B34)</f>
        <v>10000</v>
      </c>
      <c r="I34" s="176" cm="1">
        <f t="array" ref="I34">10^3*(_xlfn.XLOOKUP(I$8,'Master Data'!$C$2:$W$2,_xlfn.XLOOKUP($A34,'Master Data'!$B$3:$B$122,'Master Data'!$C$3:$W$122))-$B34)</f>
        <v>10000</v>
      </c>
      <c r="J34" s="176" cm="1">
        <f t="array" ref="J34">10^3*(_xlfn.XLOOKUP(J$8,'Master Data'!$C$2:$W$2,_xlfn.XLOOKUP($A34,'Master Data'!$B$3:$B$122,'Master Data'!$C$3:$W$122))-$B34)</f>
        <v>10000</v>
      </c>
      <c r="K34" s="176" cm="1">
        <f t="array" ref="K34">10^3*(_xlfn.XLOOKUP(K$8,'Master Data'!$C$2:$W$2,_xlfn.XLOOKUP($A34,'Master Data'!$B$3:$B$122,'Master Data'!$C$3:$W$122))-$B34)</f>
        <v>10000</v>
      </c>
      <c r="L34" s="176" cm="1">
        <f t="array" ref="L34">10^3*(_xlfn.XLOOKUP(L$8,'Master Data'!$C$2:$W$2,_xlfn.XLOOKUP($A34,'Master Data'!$B$3:$B$122,'Master Data'!$C$3:$W$122))-$B34)</f>
        <v>10000</v>
      </c>
      <c r="M34" s="176" cm="1">
        <f t="array" ref="M34">10^3*(_xlfn.XLOOKUP(M$8,'Master Data'!$C$2:$W$2,_xlfn.XLOOKUP($A34,'Master Data'!$B$3:$B$122,'Master Data'!$C$3:$W$122))-$B34)</f>
        <v>10000</v>
      </c>
      <c r="N34" s="176" cm="1">
        <f t="array" ref="N34">10^3*(_xlfn.XLOOKUP(N$8,'Master Data'!$C$2:$W$2,_xlfn.XLOOKUP($A34,'Master Data'!$B$3:$B$122,'Master Data'!$C$3:$W$122))-$B34)</f>
        <v>10000</v>
      </c>
      <c r="O34" s="176" cm="1">
        <f t="array" ref="O34">10^3*(_xlfn.XLOOKUP(O$8,'Master Data'!$C$2:$W$2,_xlfn.XLOOKUP($A34,'Master Data'!$B$3:$B$122,'Master Data'!$C$3:$W$122))-$B34)</f>
        <v>10000</v>
      </c>
      <c r="P34" s="176" cm="1">
        <f t="array" ref="P34">10^3*(_xlfn.XLOOKUP(P$8,'Master Data'!$C$2:$W$2,_xlfn.XLOOKUP($A34,'Master Data'!$B$3:$B$122,'Master Data'!$C$3:$W$122))-$B34)</f>
        <v>10000</v>
      </c>
      <c r="Q34" s="176" cm="1">
        <f t="array" ref="Q34">10^3*(_xlfn.XLOOKUP(Q$8,'Master Data'!$C$2:$W$2,_xlfn.XLOOKUP($A34,'Master Data'!$B$3:$B$122,'Master Data'!$C$3:$W$122))-$B34)</f>
        <v>10000</v>
      </c>
      <c r="R34" s="176" cm="1">
        <f t="array" ref="R34">10^3*(_xlfn.XLOOKUP(R$8,'Master Data'!$C$2:$W$2,_xlfn.XLOOKUP($A34,'Master Data'!$B$3:$B$122,'Master Data'!$C$3:$W$122))-$B34)</f>
        <v>10000</v>
      </c>
      <c r="S34" s="176" cm="1">
        <f t="array" ref="S34">10^3*(_xlfn.XLOOKUP(S$8,'Master Data'!$C$2:$W$2,_xlfn.XLOOKUP($A34,'Master Data'!$B$3:$B$122,'Master Data'!$C$3:$W$122))-$B34)</f>
        <v>10000</v>
      </c>
      <c r="T34" s="176" cm="1">
        <f t="array" ref="T34">10^3*(_xlfn.XLOOKUP(T$8,'Master Data'!$C$2:$W$2,_xlfn.XLOOKUP($A34,'Master Data'!$B$3:$B$122,'Master Data'!$C$3:$W$122))-$B34)</f>
        <v>10000</v>
      </c>
      <c r="U34" s="176" cm="1">
        <f t="array" ref="U34">10^3*(_xlfn.XLOOKUP(U$8,'Master Data'!$C$2:$W$2,_xlfn.XLOOKUP($A34,'Master Data'!$B$3:$B$122,'Master Data'!$C$3:$W$122))-$B34)</f>
        <v>10000</v>
      </c>
      <c r="V34" s="176" cm="1">
        <f t="array" ref="V34">10^3*(_xlfn.XLOOKUP(V$8,'Master Data'!$C$2:$W$2,_xlfn.XLOOKUP($A34,'Master Data'!$B$3:$B$122,'Master Data'!$C$3:$W$122))-$B34)</f>
        <v>10000</v>
      </c>
      <c r="W34" s="176" cm="1">
        <f t="array" ref="W34">10^3*(_xlfn.XLOOKUP(W$8,'Master Data'!$C$2:$W$2,_xlfn.XLOOKUP($A34,'Master Data'!$B$3:$B$122,'Master Data'!$C$3:$W$122))-$B34)</f>
        <v>10000</v>
      </c>
      <c r="X34" s="176" cm="1">
        <f t="array" ref="X34">10^3*(_xlfn.XLOOKUP(X$8,'Master Data'!$C$2:$W$2,_xlfn.XLOOKUP($A34,'Master Data'!$B$3:$B$122,'Master Data'!$C$3:$W$122))-$B34)</f>
        <v>10000</v>
      </c>
      <c r="Y34" s="177" cm="1">
        <f t="array" ref="Y34">10^3*(_xlfn.XLOOKUP(Y$8,'Master Data'!$C$2:$W$2,_xlfn.XLOOKUP($A34,'Master Data'!$B$3:$B$122,'Master Data'!$C$3:$W$122))-$B34)</f>
        <v>10000</v>
      </c>
      <c r="Z34" s="177" t="e" cm="1">
        <f t="array" ref="Z34">10^3*(_xlfn.XLOOKUP(Z$8,'Master Data'!$C$2:$W$2,_xlfn.XLOOKUP($A34,'Master Data'!$B$3:$B$122,'Master Data'!$C$3:$W$122))-$B34)</f>
        <v>#N/A</v>
      </c>
      <c r="AA34" s="177" t="e" cm="1">
        <f t="array" ref="AA34">10^3*(_xlfn.XLOOKUP(AA$8,'Master Data'!$C$2:$W$2,_xlfn.XLOOKUP($A34,'Master Data'!$B$3:$B$122,'Master Data'!$C$3:$W$122))-$B34)</f>
        <v>#N/A</v>
      </c>
    </row>
    <row r="35" spans="1:27" s="172" customFormat="1" x14ac:dyDescent="0.25">
      <c r="A35" s="173" t="s">
        <v>96</v>
      </c>
      <c r="B35" s="174">
        <v>70</v>
      </c>
      <c r="C35" s="172" t="b">
        <f>ISNUMBER(_xlfn.XMATCH(A35,'Master Data'!$B$3:$B$122))</f>
        <v>1</v>
      </c>
      <c r="E35" s="175" cm="1">
        <f t="array" ref="E35">10^3*(_xlfn.XLOOKUP(E$8,'Master Data'!$C$2:$W$2,_xlfn.XLOOKUP($A35,'Master Data'!$B$3:$B$122,'Master Data'!$C$3:$W$122))-$B35)</f>
        <v>10000</v>
      </c>
      <c r="F35" s="176" cm="1">
        <f t="array" ref="F35">10^3*(_xlfn.XLOOKUP(F$8,'Master Data'!$C$2:$W$2,_xlfn.XLOOKUP($A35,'Master Data'!$B$3:$B$122,'Master Data'!$C$3:$W$122))-$B35)</f>
        <v>10000</v>
      </c>
      <c r="G35" s="176" cm="1">
        <f t="array" ref="G35">10^3*(_xlfn.XLOOKUP(G$8,'Master Data'!$C$2:$W$2,_xlfn.XLOOKUP($A35,'Master Data'!$B$3:$B$122,'Master Data'!$C$3:$W$122))-$B35)</f>
        <v>8000</v>
      </c>
      <c r="H35" s="176" cm="1">
        <f t="array" ref="H35">10^3*(_xlfn.XLOOKUP(H$8,'Master Data'!$C$2:$W$2,_xlfn.XLOOKUP($A35,'Master Data'!$B$3:$B$122,'Master Data'!$C$3:$W$122))-$B35)</f>
        <v>8000</v>
      </c>
      <c r="I35" s="176" cm="1">
        <f t="array" ref="I35">10^3*(_xlfn.XLOOKUP(I$8,'Master Data'!$C$2:$W$2,_xlfn.XLOOKUP($A35,'Master Data'!$B$3:$B$122,'Master Data'!$C$3:$W$122))-$B35)</f>
        <v>8000</v>
      </c>
      <c r="J35" s="176" cm="1">
        <f t="array" ref="J35">10^3*(_xlfn.XLOOKUP(J$8,'Master Data'!$C$2:$W$2,_xlfn.XLOOKUP($A35,'Master Data'!$B$3:$B$122,'Master Data'!$C$3:$W$122))-$B35)</f>
        <v>8000</v>
      </c>
      <c r="K35" s="176" cm="1">
        <f t="array" ref="K35">10^3*(_xlfn.XLOOKUP(K$8,'Master Data'!$C$2:$W$2,_xlfn.XLOOKUP($A35,'Master Data'!$B$3:$B$122,'Master Data'!$C$3:$W$122))-$B35)</f>
        <v>8000</v>
      </c>
      <c r="L35" s="176" cm="1">
        <f t="array" ref="L35">10^3*(_xlfn.XLOOKUP(L$8,'Master Data'!$C$2:$W$2,_xlfn.XLOOKUP($A35,'Master Data'!$B$3:$B$122,'Master Data'!$C$3:$W$122))-$B35)</f>
        <v>8000</v>
      </c>
      <c r="M35" s="176" cm="1">
        <f t="array" ref="M35">10^3*(_xlfn.XLOOKUP(M$8,'Master Data'!$C$2:$W$2,_xlfn.XLOOKUP($A35,'Master Data'!$B$3:$B$122,'Master Data'!$C$3:$W$122))-$B35)</f>
        <v>8000</v>
      </c>
      <c r="N35" s="176" cm="1">
        <f t="array" ref="N35">10^3*(_xlfn.XLOOKUP(N$8,'Master Data'!$C$2:$W$2,_xlfn.XLOOKUP($A35,'Master Data'!$B$3:$B$122,'Master Data'!$C$3:$W$122))-$B35)</f>
        <v>8000</v>
      </c>
      <c r="O35" s="176" cm="1">
        <f t="array" ref="O35">10^3*(_xlfn.XLOOKUP(O$8,'Master Data'!$C$2:$W$2,_xlfn.XLOOKUP($A35,'Master Data'!$B$3:$B$122,'Master Data'!$C$3:$W$122))-$B35)</f>
        <v>8000</v>
      </c>
      <c r="P35" s="176" cm="1">
        <f t="array" ref="P35">10^3*(_xlfn.XLOOKUP(P$8,'Master Data'!$C$2:$W$2,_xlfn.XLOOKUP($A35,'Master Data'!$B$3:$B$122,'Master Data'!$C$3:$W$122))-$B35)</f>
        <v>10000</v>
      </c>
      <c r="Q35" s="176" cm="1">
        <f t="array" ref="Q35">10^3*(_xlfn.XLOOKUP(Q$8,'Master Data'!$C$2:$W$2,_xlfn.XLOOKUP($A35,'Master Data'!$B$3:$B$122,'Master Data'!$C$3:$W$122))-$B35)</f>
        <v>10000</v>
      </c>
      <c r="R35" s="176" cm="1">
        <f t="array" ref="R35">10^3*(_xlfn.XLOOKUP(R$8,'Master Data'!$C$2:$W$2,_xlfn.XLOOKUP($A35,'Master Data'!$B$3:$B$122,'Master Data'!$C$3:$W$122))-$B35)</f>
        <v>10000</v>
      </c>
      <c r="S35" s="176" cm="1">
        <f t="array" ref="S35">10^3*(_xlfn.XLOOKUP(S$8,'Master Data'!$C$2:$W$2,_xlfn.XLOOKUP($A35,'Master Data'!$B$3:$B$122,'Master Data'!$C$3:$W$122))-$B35)</f>
        <v>8000</v>
      </c>
      <c r="T35" s="176" cm="1">
        <f t="array" ref="T35">10^3*(_xlfn.XLOOKUP(T$8,'Master Data'!$C$2:$W$2,_xlfn.XLOOKUP($A35,'Master Data'!$B$3:$B$122,'Master Data'!$C$3:$W$122))-$B35)</f>
        <v>10000</v>
      </c>
      <c r="U35" s="176" cm="1">
        <f t="array" ref="U35">10^3*(_xlfn.XLOOKUP(U$8,'Master Data'!$C$2:$W$2,_xlfn.XLOOKUP($A35,'Master Data'!$B$3:$B$122,'Master Data'!$C$3:$W$122))-$B35)</f>
        <v>10000</v>
      </c>
      <c r="V35" s="176" cm="1">
        <f t="array" ref="V35">10^3*(_xlfn.XLOOKUP(V$8,'Master Data'!$C$2:$W$2,_xlfn.XLOOKUP($A35,'Master Data'!$B$3:$B$122,'Master Data'!$C$3:$W$122))-$B35)</f>
        <v>10000</v>
      </c>
      <c r="W35" s="176" cm="1">
        <f t="array" ref="W35">10^3*(_xlfn.XLOOKUP(W$8,'Master Data'!$C$2:$W$2,_xlfn.XLOOKUP($A35,'Master Data'!$B$3:$B$122,'Master Data'!$C$3:$W$122))-$B35)</f>
        <v>8000</v>
      </c>
      <c r="X35" s="176" cm="1">
        <f t="array" ref="X35">10^3*(_xlfn.XLOOKUP(X$8,'Master Data'!$C$2:$W$2,_xlfn.XLOOKUP($A35,'Master Data'!$B$3:$B$122,'Master Data'!$C$3:$W$122))-$B35)</f>
        <v>8000</v>
      </c>
      <c r="Y35" s="177" cm="1">
        <f t="array" ref="Y35">10^3*(_xlfn.XLOOKUP(Y$8,'Master Data'!$C$2:$W$2,_xlfn.XLOOKUP($A35,'Master Data'!$B$3:$B$122,'Master Data'!$C$3:$W$122))-$B35)</f>
        <v>8000</v>
      </c>
      <c r="Z35" s="177" t="e" cm="1">
        <f t="array" ref="Z35">10^3*(_xlfn.XLOOKUP(Z$8,'Master Data'!$C$2:$W$2,_xlfn.XLOOKUP($A35,'Master Data'!$B$3:$B$122,'Master Data'!$C$3:$W$122))-$B35)</f>
        <v>#N/A</v>
      </c>
      <c r="AA35" s="177" t="e" cm="1">
        <f t="array" ref="AA35">10^3*(_xlfn.XLOOKUP(AA$8,'Master Data'!$C$2:$W$2,_xlfn.XLOOKUP($A35,'Master Data'!$B$3:$B$122,'Master Data'!$C$3:$W$122))-$B35)</f>
        <v>#N/A</v>
      </c>
    </row>
    <row r="36" spans="1:27" s="172" customFormat="1" x14ac:dyDescent="0.25">
      <c r="A36" s="173" t="s">
        <v>97</v>
      </c>
      <c r="B36" s="174">
        <v>70</v>
      </c>
      <c r="C36" s="172" t="b">
        <f>ISNUMBER(_xlfn.XMATCH(A36,'Master Data'!$B$3:$B$122))</f>
        <v>1</v>
      </c>
      <c r="E36" s="175" cm="1">
        <f t="array" ref="E36">10^3*(_xlfn.XLOOKUP(E$8,'Master Data'!$C$2:$W$2,_xlfn.XLOOKUP($A36,'Master Data'!$B$3:$B$122,'Master Data'!$C$3:$W$122))-$B36)</f>
        <v>10000</v>
      </c>
      <c r="F36" s="176" cm="1">
        <f t="array" ref="F36">10^3*(_xlfn.XLOOKUP(F$8,'Master Data'!$C$2:$W$2,_xlfn.XLOOKUP($A36,'Master Data'!$B$3:$B$122,'Master Data'!$C$3:$W$122))-$B36)</f>
        <v>10000</v>
      </c>
      <c r="G36" s="176" cm="1">
        <f t="array" ref="G36">10^3*(_xlfn.XLOOKUP(G$8,'Master Data'!$C$2:$W$2,_xlfn.XLOOKUP($A36,'Master Data'!$B$3:$B$122,'Master Data'!$C$3:$W$122))-$B36)</f>
        <v>8000</v>
      </c>
      <c r="H36" s="176" cm="1">
        <f t="array" ref="H36">10^3*(_xlfn.XLOOKUP(H$8,'Master Data'!$C$2:$W$2,_xlfn.XLOOKUP($A36,'Master Data'!$B$3:$B$122,'Master Data'!$C$3:$W$122))-$B36)</f>
        <v>8000</v>
      </c>
      <c r="I36" s="176" cm="1">
        <f t="array" ref="I36">10^3*(_xlfn.XLOOKUP(I$8,'Master Data'!$C$2:$W$2,_xlfn.XLOOKUP($A36,'Master Data'!$B$3:$B$122,'Master Data'!$C$3:$W$122))-$B36)</f>
        <v>8000</v>
      </c>
      <c r="J36" s="176" cm="1">
        <f t="array" ref="J36">10^3*(_xlfn.XLOOKUP(J$8,'Master Data'!$C$2:$W$2,_xlfn.XLOOKUP($A36,'Master Data'!$B$3:$B$122,'Master Data'!$C$3:$W$122))-$B36)</f>
        <v>8000</v>
      </c>
      <c r="K36" s="176" cm="1">
        <f t="array" ref="K36">10^3*(_xlfn.XLOOKUP(K$8,'Master Data'!$C$2:$W$2,_xlfn.XLOOKUP($A36,'Master Data'!$B$3:$B$122,'Master Data'!$C$3:$W$122))-$B36)</f>
        <v>8000</v>
      </c>
      <c r="L36" s="176" cm="1">
        <f t="array" ref="L36">10^3*(_xlfn.XLOOKUP(L$8,'Master Data'!$C$2:$W$2,_xlfn.XLOOKUP($A36,'Master Data'!$B$3:$B$122,'Master Data'!$C$3:$W$122))-$B36)</f>
        <v>8000</v>
      </c>
      <c r="M36" s="176" cm="1">
        <f t="array" ref="M36">10^3*(_xlfn.XLOOKUP(M$8,'Master Data'!$C$2:$W$2,_xlfn.XLOOKUP($A36,'Master Data'!$B$3:$B$122,'Master Data'!$C$3:$W$122))-$B36)</f>
        <v>8000</v>
      </c>
      <c r="N36" s="176" cm="1">
        <f t="array" ref="N36">10^3*(_xlfn.XLOOKUP(N$8,'Master Data'!$C$2:$W$2,_xlfn.XLOOKUP($A36,'Master Data'!$B$3:$B$122,'Master Data'!$C$3:$W$122))-$B36)</f>
        <v>8000</v>
      </c>
      <c r="O36" s="176" cm="1">
        <f t="array" ref="O36">10^3*(_xlfn.XLOOKUP(O$8,'Master Data'!$C$2:$W$2,_xlfn.XLOOKUP($A36,'Master Data'!$B$3:$B$122,'Master Data'!$C$3:$W$122))-$B36)</f>
        <v>8000</v>
      </c>
      <c r="P36" s="176" cm="1">
        <f t="array" ref="P36">10^3*(_xlfn.XLOOKUP(P$8,'Master Data'!$C$2:$W$2,_xlfn.XLOOKUP($A36,'Master Data'!$B$3:$B$122,'Master Data'!$C$3:$W$122))-$B36)</f>
        <v>10000</v>
      </c>
      <c r="Q36" s="176" cm="1">
        <f t="array" ref="Q36">10^3*(_xlfn.XLOOKUP(Q$8,'Master Data'!$C$2:$W$2,_xlfn.XLOOKUP($A36,'Master Data'!$B$3:$B$122,'Master Data'!$C$3:$W$122))-$B36)</f>
        <v>10000</v>
      </c>
      <c r="R36" s="176" cm="1">
        <f t="array" ref="R36">10^3*(_xlfn.XLOOKUP(R$8,'Master Data'!$C$2:$W$2,_xlfn.XLOOKUP($A36,'Master Data'!$B$3:$B$122,'Master Data'!$C$3:$W$122))-$B36)</f>
        <v>10000</v>
      </c>
      <c r="S36" s="176" cm="1">
        <f t="array" ref="S36">10^3*(_xlfn.XLOOKUP(S$8,'Master Data'!$C$2:$W$2,_xlfn.XLOOKUP($A36,'Master Data'!$B$3:$B$122,'Master Data'!$C$3:$W$122))-$B36)</f>
        <v>8000</v>
      </c>
      <c r="T36" s="176" cm="1">
        <f t="array" ref="T36">10^3*(_xlfn.XLOOKUP(T$8,'Master Data'!$C$2:$W$2,_xlfn.XLOOKUP($A36,'Master Data'!$B$3:$B$122,'Master Data'!$C$3:$W$122))-$B36)</f>
        <v>10000</v>
      </c>
      <c r="U36" s="176" cm="1">
        <f t="array" ref="U36">10^3*(_xlfn.XLOOKUP(U$8,'Master Data'!$C$2:$W$2,_xlfn.XLOOKUP($A36,'Master Data'!$B$3:$B$122,'Master Data'!$C$3:$W$122))-$B36)</f>
        <v>10000</v>
      </c>
      <c r="V36" s="176" cm="1">
        <f t="array" ref="V36">10^3*(_xlfn.XLOOKUP(V$8,'Master Data'!$C$2:$W$2,_xlfn.XLOOKUP($A36,'Master Data'!$B$3:$B$122,'Master Data'!$C$3:$W$122))-$B36)</f>
        <v>10000</v>
      </c>
      <c r="W36" s="176" cm="1">
        <f t="array" ref="W36">10^3*(_xlfn.XLOOKUP(W$8,'Master Data'!$C$2:$W$2,_xlfn.XLOOKUP($A36,'Master Data'!$B$3:$B$122,'Master Data'!$C$3:$W$122))-$B36)</f>
        <v>8000</v>
      </c>
      <c r="X36" s="176" cm="1">
        <f t="array" ref="X36">10^3*(_xlfn.XLOOKUP(X$8,'Master Data'!$C$2:$W$2,_xlfn.XLOOKUP($A36,'Master Data'!$B$3:$B$122,'Master Data'!$C$3:$W$122))-$B36)</f>
        <v>8000</v>
      </c>
      <c r="Y36" s="177" cm="1">
        <f t="array" ref="Y36">10^3*(_xlfn.XLOOKUP(Y$8,'Master Data'!$C$2:$W$2,_xlfn.XLOOKUP($A36,'Master Data'!$B$3:$B$122,'Master Data'!$C$3:$W$122))-$B36)</f>
        <v>8000</v>
      </c>
      <c r="Z36" s="177" t="e" cm="1">
        <f t="array" ref="Z36">10^3*(_xlfn.XLOOKUP(Z$8,'Master Data'!$C$2:$W$2,_xlfn.XLOOKUP($A36,'Master Data'!$B$3:$B$122,'Master Data'!$C$3:$W$122))-$B36)</f>
        <v>#N/A</v>
      </c>
      <c r="AA36" s="177" t="e" cm="1">
        <f t="array" ref="AA36">10^3*(_xlfn.XLOOKUP(AA$8,'Master Data'!$C$2:$W$2,_xlfn.XLOOKUP($A36,'Master Data'!$B$3:$B$122,'Master Data'!$C$3:$W$122))-$B36)</f>
        <v>#N/A</v>
      </c>
    </row>
    <row r="37" spans="1:27" s="172" customFormat="1" x14ac:dyDescent="0.25">
      <c r="A37" s="173" t="s">
        <v>24</v>
      </c>
      <c r="B37" s="174">
        <v>90</v>
      </c>
      <c r="C37" s="172" t="b">
        <f>ISNUMBER(_xlfn.XMATCH(A37,'Master Data'!$B$3:$B$122))</f>
        <v>1</v>
      </c>
      <c r="E37" s="175" cm="1">
        <f t="array" ref="E37">10^3*(_xlfn.XLOOKUP(E$8,'Master Data'!$C$2:$W$2,_xlfn.XLOOKUP($A37,'Master Data'!$B$3:$B$122,'Master Data'!$C$3:$W$122))-$B37)</f>
        <v>7000</v>
      </c>
      <c r="F37" s="176" cm="1">
        <f t="array" ref="F37">10^3*(_xlfn.XLOOKUP(F$8,'Master Data'!$C$2:$W$2,_xlfn.XLOOKUP($A37,'Master Data'!$B$3:$B$122,'Master Data'!$C$3:$W$122))-$B37)</f>
        <v>7000</v>
      </c>
      <c r="G37" s="176" cm="1">
        <f t="array" ref="G37">10^3*(_xlfn.XLOOKUP(G$8,'Master Data'!$C$2:$W$2,_xlfn.XLOOKUP($A37,'Master Data'!$B$3:$B$122,'Master Data'!$C$3:$W$122))-$B37)</f>
        <v>5000</v>
      </c>
      <c r="H37" s="176" cm="1">
        <f t="array" ref="H37">10^3*(_xlfn.XLOOKUP(H$8,'Master Data'!$C$2:$W$2,_xlfn.XLOOKUP($A37,'Master Data'!$B$3:$B$122,'Master Data'!$C$3:$W$122))-$B37)</f>
        <v>5000</v>
      </c>
      <c r="I37" s="176" cm="1">
        <f t="array" ref="I37">10^3*(_xlfn.XLOOKUP(I$8,'Master Data'!$C$2:$W$2,_xlfn.XLOOKUP($A37,'Master Data'!$B$3:$B$122,'Master Data'!$C$3:$W$122))-$B37)</f>
        <v>5000</v>
      </c>
      <c r="J37" s="176" cm="1">
        <f t="array" ref="J37">10^3*(_xlfn.XLOOKUP(J$8,'Master Data'!$C$2:$W$2,_xlfn.XLOOKUP($A37,'Master Data'!$B$3:$B$122,'Master Data'!$C$3:$W$122))-$B37)</f>
        <v>5000</v>
      </c>
      <c r="K37" s="176" cm="1">
        <f t="array" ref="K37">10^3*(_xlfn.XLOOKUP(K$8,'Master Data'!$C$2:$W$2,_xlfn.XLOOKUP($A37,'Master Data'!$B$3:$B$122,'Master Data'!$C$3:$W$122))-$B37)</f>
        <v>5000</v>
      </c>
      <c r="L37" s="176" cm="1">
        <f t="array" ref="L37">10^3*(_xlfn.XLOOKUP(L$8,'Master Data'!$C$2:$W$2,_xlfn.XLOOKUP($A37,'Master Data'!$B$3:$B$122,'Master Data'!$C$3:$W$122))-$B37)</f>
        <v>5000</v>
      </c>
      <c r="M37" s="176" cm="1">
        <f t="array" ref="M37">10^3*(_xlfn.XLOOKUP(M$8,'Master Data'!$C$2:$W$2,_xlfn.XLOOKUP($A37,'Master Data'!$B$3:$B$122,'Master Data'!$C$3:$W$122))-$B37)</f>
        <v>5000</v>
      </c>
      <c r="N37" s="176" cm="1">
        <f t="array" ref="N37">10^3*(_xlfn.XLOOKUP(N$8,'Master Data'!$C$2:$W$2,_xlfn.XLOOKUP($A37,'Master Data'!$B$3:$B$122,'Master Data'!$C$3:$W$122))-$B37)</f>
        <v>5000</v>
      </c>
      <c r="O37" s="176" cm="1">
        <f t="array" ref="O37">10^3*(_xlfn.XLOOKUP(O$8,'Master Data'!$C$2:$W$2,_xlfn.XLOOKUP($A37,'Master Data'!$B$3:$B$122,'Master Data'!$C$3:$W$122))-$B37)</f>
        <v>5000</v>
      </c>
      <c r="P37" s="176" cm="1">
        <f t="array" ref="P37">10^3*(_xlfn.XLOOKUP(P$8,'Master Data'!$C$2:$W$2,_xlfn.XLOOKUP($A37,'Master Data'!$B$3:$B$122,'Master Data'!$C$3:$W$122))-$B37)</f>
        <v>7000</v>
      </c>
      <c r="Q37" s="176" cm="1">
        <f t="array" ref="Q37">10^3*(_xlfn.XLOOKUP(Q$8,'Master Data'!$C$2:$W$2,_xlfn.XLOOKUP($A37,'Master Data'!$B$3:$B$122,'Master Data'!$C$3:$W$122))-$B37)</f>
        <v>7000</v>
      </c>
      <c r="R37" s="176" cm="1">
        <f t="array" ref="R37">10^3*(_xlfn.XLOOKUP(R$8,'Master Data'!$C$2:$W$2,_xlfn.XLOOKUP($A37,'Master Data'!$B$3:$B$122,'Master Data'!$C$3:$W$122))-$B37)</f>
        <v>7000</v>
      </c>
      <c r="S37" s="176" cm="1">
        <f t="array" ref="S37">10^3*(_xlfn.XLOOKUP(S$8,'Master Data'!$C$2:$W$2,_xlfn.XLOOKUP($A37,'Master Data'!$B$3:$B$122,'Master Data'!$C$3:$W$122))-$B37)</f>
        <v>5000</v>
      </c>
      <c r="T37" s="176" cm="1">
        <f t="array" ref="T37">10^3*(_xlfn.XLOOKUP(T$8,'Master Data'!$C$2:$W$2,_xlfn.XLOOKUP($A37,'Master Data'!$B$3:$B$122,'Master Data'!$C$3:$W$122))-$B37)</f>
        <v>7000</v>
      </c>
      <c r="U37" s="176" cm="1">
        <f t="array" ref="U37">10^3*(_xlfn.XLOOKUP(U$8,'Master Data'!$C$2:$W$2,_xlfn.XLOOKUP($A37,'Master Data'!$B$3:$B$122,'Master Data'!$C$3:$W$122))-$B37)</f>
        <v>7000</v>
      </c>
      <c r="V37" s="176" cm="1">
        <f t="array" ref="V37">10^3*(_xlfn.XLOOKUP(V$8,'Master Data'!$C$2:$W$2,_xlfn.XLOOKUP($A37,'Master Data'!$B$3:$B$122,'Master Data'!$C$3:$W$122))-$B37)</f>
        <v>7000</v>
      </c>
      <c r="W37" s="176" cm="1">
        <f t="array" ref="W37">10^3*(_xlfn.XLOOKUP(W$8,'Master Data'!$C$2:$W$2,_xlfn.XLOOKUP($A37,'Master Data'!$B$3:$B$122,'Master Data'!$C$3:$W$122))-$B37)</f>
        <v>5000</v>
      </c>
      <c r="X37" s="176" cm="1">
        <f t="array" ref="X37">10^3*(_xlfn.XLOOKUP(X$8,'Master Data'!$C$2:$W$2,_xlfn.XLOOKUP($A37,'Master Data'!$B$3:$B$122,'Master Data'!$C$3:$W$122))-$B37)</f>
        <v>5000</v>
      </c>
      <c r="Y37" s="177" cm="1">
        <f t="array" ref="Y37">10^3*(_xlfn.XLOOKUP(Y$8,'Master Data'!$C$2:$W$2,_xlfn.XLOOKUP($A37,'Master Data'!$B$3:$B$122,'Master Data'!$C$3:$W$122))-$B37)</f>
        <v>5000</v>
      </c>
      <c r="Z37" s="177" t="e" cm="1">
        <f t="array" ref="Z37">10^3*(_xlfn.XLOOKUP(Z$8,'Master Data'!$C$2:$W$2,_xlfn.XLOOKUP($A37,'Master Data'!$B$3:$B$122,'Master Data'!$C$3:$W$122))-$B37)</f>
        <v>#N/A</v>
      </c>
      <c r="AA37" s="177" t="e" cm="1">
        <f t="array" ref="AA37">10^3*(_xlfn.XLOOKUP(AA$8,'Master Data'!$C$2:$W$2,_xlfn.XLOOKUP($A37,'Master Data'!$B$3:$B$122,'Master Data'!$C$3:$W$122))-$B37)</f>
        <v>#N/A</v>
      </c>
    </row>
    <row r="38" spans="1:27" s="172" customFormat="1" x14ac:dyDescent="0.25">
      <c r="A38" s="173" t="s">
        <v>22</v>
      </c>
      <c r="B38" s="174">
        <v>90</v>
      </c>
      <c r="C38" s="172" t="b">
        <f>ISNUMBER(_xlfn.XMATCH(A38,'Master Data'!$B$3:$B$122))</f>
        <v>1</v>
      </c>
      <c r="E38" s="175" cm="1">
        <f t="array" ref="E38">10^3*(_xlfn.XLOOKUP(E$8,'Master Data'!$C$2:$W$2,_xlfn.XLOOKUP($A38,'Master Data'!$B$3:$B$122,'Master Data'!$C$3:$W$122))-$B38)</f>
        <v>7000</v>
      </c>
      <c r="F38" s="176" cm="1">
        <f t="array" ref="F38">10^3*(_xlfn.XLOOKUP(F$8,'Master Data'!$C$2:$W$2,_xlfn.XLOOKUP($A38,'Master Data'!$B$3:$B$122,'Master Data'!$C$3:$W$122))-$B38)</f>
        <v>7000</v>
      </c>
      <c r="G38" s="176" cm="1">
        <f t="array" ref="G38">10^3*(_xlfn.XLOOKUP(G$8,'Master Data'!$C$2:$W$2,_xlfn.XLOOKUP($A38,'Master Data'!$B$3:$B$122,'Master Data'!$C$3:$W$122))-$B38)</f>
        <v>5000</v>
      </c>
      <c r="H38" s="176" cm="1">
        <f t="array" ref="H38">10^3*(_xlfn.XLOOKUP(H$8,'Master Data'!$C$2:$W$2,_xlfn.XLOOKUP($A38,'Master Data'!$B$3:$B$122,'Master Data'!$C$3:$W$122))-$B38)</f>
        <v>5000</v>
      </c>
      <c r="I38" s="176" cm="1">
        <f t="array" ref="I38">10^3*(_xlfn.XLOOKUP(I$8,'Master Data'!$C$2:$W$2,_xlfn.XLOOKUP($A38,'Master Data'!$B$3:$B$122,'Master Data'!$C$3:$W$122))-$B38)</f>
        <v>5000</v>
      </c>
      <c r="J38" s="176" cm="1">
        <f t="array" ref="J38">10^3*(_xlfn.XLOOKUP(J$8,'Master Data'!$C$2:$W$2,_xlfn.XLOOKUP($A38,'Master Data'!$B$3:$B$122,'Master Data'!$C$3:$W$122))-$B38)</f>
        <v>5000</v>
      </c>
      <c r="K38" s="176" cm="1">
        <f t="array" ref="K38">10^3*(_xlfn.XLOOKUP(K$8,'Master Data'!$C$2:$W$2,_xlfn.XLOOKUP($A38,'Master Data'!$B$3:$B$122,'Master Data'!$C$3:$W$122))-$B38)</f>
        <v>5000</v>
      </c>
      <c r="L38" s="176" cm="1">
        <f t="array" ref="L38">10^3*(_xlfn.XLOOKUP(L$8,'Master Data'!$C$2:$W$2,_xlfn.XLOOKUP($A38,'Master Data'!$B$3:$B$122,'Master Data'!$C$3:$W$122))-$B38)</f>
        <v>5000</v>
      </c>
      <c r="M38" s="176" cm="1">
        <f t="array" ref="M38">10^3*(_xlfn.XLOOKUP(M$8,'Master Data'!$C$2:$W$2,_xlfn.XLOOKUP($A38,'Master Data'!$B$3:$B$122,'Master Data'!$C$3:$W$122))-$B38)</f>
        <v>5000</v>
      </c>
      <c r="N38" s="176" cm="1">
        <f t="array" ref="N38">10^3*(_xlfn.XLOOKUP(N$8,'Master Data'!$C$2:$W$2,_xlfn.XLOOKUP($A38,'Master Data'!$B$3:$B$122,'Master Data'!$C$3:$W$122))-$B38)</f>
        <v>5000</v>
      </c>
      <c r="O38" s="176" cm="1">
        <f t="array" ref="O38">10^3*(_xlfn.XLOOKUP(O$8,'Master Data'!$C$2:$W$2,_xlfn.XLOOKUP($A38,'Master Data'!$B$3:$B$122,'Master Data'!$C$3:$W$122))-$B38)</f>
        <v>5000</v>
      </c>
      <c r="P38" s="176" cm="1">
        <f t="array" ref="P38">10^3*(_xlfn.XLOOKUP(P$8,'Master Data'!$C$2:$W$2,_xlfn.XLOOKUP($A38,'Master Data'!$B$3:$B$122,'Master Data'!$C$3:$W$122))-$B38)</f>
        <v>7000</v>
      </c>
      <c r="Q38" s="176" cm="1">
        <f t="array" ref="Q38">10^3*(_xlfn.XLOOKUP(Q$8,'Master Data'!$C$2:$W$2,_xlfn.XLOOKUP($A38,'Master Data'!$B$3:$B$122,'Master Data'!$C$3:$W$122))-$B38)</f>
        <v>7000</v>
      </c>
      <c r="R38" s="176" cm="1">
        <f t="array" ref="R38">10^3*(_xlfn.XLOOKUP(R$8,'Master Data'!$C$2:$W$2,_xlfn.XLOOKUP($A38,'Master Data'!$B$3:$B$122,'Master Data'!$C$3:$W$122))-$B38)</f>
        <v>7000</v>
      </c>
      <c r="S38" s="176" cm="1">
        <f t="array" ref="S38">10^3*(_xlfn.XLOOKUP(S$8,'Master Data'!$C$2:$W$2,_xlfn.XLOOKUP($A38,'Master Data'!$B$3:$B$122,'Master Data'!$C$3:$W$122))-$B38)</f>
        <v>5000</v>
      </c>
      <c r="T38" s="176" cm="1">
        <f t="array" ref="T38">10^3*(_xlfn.XLOOKUP(T$8,'Master Data'!$C$2:$W$2,_xlfn.XLOOKUP($A38,'Master Data'!$B$3:$B$122,'Master Data'!$C$3:$W$122))-$B38)</f>
        <v>7000</v>
      </c>
      <c r="U38" s="176" cm="1">
        <f t="array" ref="U38">10^3*(_xlfn.XLOOKUP(U$8,'Master Data'!$C$2:$W$2,_xlfn.XLOOKUP($A38,'Master Data'!$B$3:$B$122,'Master Data'!$C$3:$W$122))-$B38)</f>
        <v>7000</v>
      </c>
      <c r="V38" s="176" cm="1">
        <f t="array" ref="V38">10^3*(_xlfn.XLOOKUP(V$8,'Master Data'!$C$2:$W$2,_xlfn.XLOOKUP($A38,'Master Data'!$B$3:$B$122,'Master Data'!$C$3:$W$122))-$B38)</f>
        <v>7000</v>
      </c>
      <c r="W38" s="176" cm="1">
        <f t="array" ref="W38">10^3*(_xlfn.XLOOKUP(W$8,'Master Data'!$C$2:$W$2,_xlfn.XLOOKUP($A38,'Master Data'!$B$3:$B$122,'Master Data'!$C$3:$W$122))-$B38)</f>
        <v>5000</v>
      </c>
      <c r="X38" s="176" cm="1">
        <f t="array" ref="X38">10^3*(_xlfn.XLOOKUP(X$8,'Master Data'!$C$2:$W$2,_xlfn.XLOOKUP($A38,'Master Data'!$B$3:$B$122,'Master Data'!$C$3:$W$122))-$B38)</f>
        <v>5000</v>
      </c>
      <c r="Y38" s="177" cm="1">
        <f t="array" ref="Y38">10^3*(_xlfn.XLOOKUP(Y$8,'Master Data'!$C$2:$W$2,_xlfn.XLOOKUP($A38,'Master Data'!$B$3:$B$122,'Master Data'!$C$3:$W$122))-$B38)</f>
        <v>5000</v>
      </c>
      <c r="Z38" s="177" t="e" cm="1">
        <f t="array" ref="Z38">10^3*(_xlfn.XLOOKUP(Z$8,'Master Data'!$C$2:$W$2,_xlfn.XLOOKUP($A38,'Master Data'!$B$3:$B$122,'Master Data'!$C$3:$W$122))-$B38)</f>
        <v>#N/A</v>
      </c>
      <c r="AA38" s="177" t="e" cm="1">
        <f t="array" ref="AA38">10^3*(_xlfn.XLOOKUP(AA$8,'Master Data'!$C$2:$W$2,_xlfn.XLOOKUP($A38,'Master Data'!$B$3:$B$122,'Master Data'!$C$3:$W$122))-$B38)</f>
        <v>#N/A</v>
      </c>
    </row>
    <row r="39" spans="1:27" s="172" customFormat="1" x14ac:dyDescent="0.25">
      <c r="A39" s="173" t="s">
        <v>34</v>
      </c>
      <c r="B39" s="174">
        <v>90</v>
      </c>
      <c r="C39" s="172" t="b">
        <f>ISNUMBER(_xlfn.XMATCH(A39,'Master Data'!$B$3:$B$122))</f>
        <v>1</v>
      </c>
      <c r="E39" s="175" cm="1">
        <f t="array" ref="E39">10^3*(_xlfn.XLOOKUP(E$8,'Master Data'!$C$2:$W$2,_xlfn.XLOOKUP($A39,'Master Data'!$B$3:$B$122,'Master Data'!$C$3:$W$122))-$B39)</f>
        <v>7000</v>
      </c>
      <c r="F39" s="176" cm="1">
        <f t="array" ref="F39">10^3*(_xlfn.XLOOKUP(F$8,'Master Data'!$C$2:$W$2,_xlfn.XLOOKUP($A39,'Master Data'!$B$3:$B$122,'Master Data'!$C$3:$W$122))-$B39)</f>
        <v>7000</v>
      </c>
      <c r="G39" s="176" cm="1">
        <f t="array" ref="G39">10^3*(_xlfn.XLOOKUP(G$8,'Master Data'!$C$2:$W$2,_xlfn.XLOOKUP($A39,'Master Data'!$B$3:$B$122,'Master Data'!$C$3:$W$122))-$B39)</f>
        <v>5000</v>
      </c>
      <c r="H39" s="176" cm="1">
        <f t="array" ref="H39">10^3*(_xlfn.XLOOKUP(H$8,'Master Data'!$C$2:$W$2,_xlfn.XLOOKUP($A39,'Master Data'!$B$3:$B$122,'Master Data'!$C$3:$W$122))-$B39)</f>
        <v>5000</v>
      </c>
      <c r="I39" s="176" cm="1">
        <f t="array" ref="I39">10^3*(_xlfn.XLOOKUP(I$8,'Master Data'!$C$2:$W$2,_xlfn.XLOOKUP($A39,'Master Data'!$B$3:$B$122,'Master Data'!$C$3:$W$122))-$B39)</f>
        <v>5000</v>
      </c>
      <c r="J39" s="176" cm="1">
        <f t="array" ref="J39">10^3*(_xlfn.XLOOKUP(J$8,'Master Data'!$C$2:$W$2,_xlfn.XLOOKUP($A39,'Master Data'!$B$3:$B$122,'Master Data'!$C$3:$W$122))-$B39)</f>
        <v>5000</v>
      </c>
      <c r="K39" s="176" cm="1">
        <f t="array" ref="K39">10^3*(_xlfn.XLOOKUP(K$8,'Master Data'!$C$2:$W$2,_xlfn.XLOOKUP($A39,'Master Data'!$B$3:$B$122,'Master Data'!$C$3:$W$122))-$B39)</f>
        <v>5000</v>
      </c>
      <c r="L39" s="176" cm="1">
        <f t="array" ref="L39">10^3*(_xlfn.XLOOKUP(L$8,'Master Data'!$C$2:$W$2,_xlfn.XLOOKUP($A39,'Master Data'!$B$3:$B$122,'Master Data'!$C$3:$W$122))-$B39)</f>
        <v>5000</v>
      </c>
      <c r="M39" s="176" cm="1">
        <f t="array" ref="M39">10^3*(_xlfn.XLOOKUP(M$8,'Master Data'!$C$2:$W$2,_xlfn.XLOOKUP($A39,'Master Data'!$B$3:$B$122,'Master Data'!$C$3:$W$122))-$B39)</f>
        <v>5000</v>
      </c>
      <c r="N39" s="176" cm="1">
        <f t="array" ref="N39">10^3*(_xlfn.XLOOKUP(N$8,'Master Data'!$C$2:$W$2,_xlfn.XLOOKUP($A39,'Master Data'!$B$3:$B$122,'Master Data'!$C$3:$W$122))-$B39)</f>
        <v>5000</v>
      </c>
      <c r="O39" s="176" cm="1">
        <f t="array" ref="O39">10^3*(_xlfn.XLOOKUP(O$8,'Master Data'!$C$2:$W$2,_xlfn.XLOOKUP($A39,'Master Data'!$B$3:$B$122,'Master Data'!$C$3:$W$122))-$B39)</f>
        <v>5000</v>
      </c>
      <c r="P39" s="176" cm="1">
        <f t="array" ref="P39">10^3*(_xlfn.XLOOKUP(P$8,'Master Data'!$C$2:$W$2,_xlfn.XLOOKUP($A39,'Master Data'!$B$3:$B$122,'Master Data'!$C$3:$W$122))-$B39)</f>
        <v>7000</v>
      </c>
      <c r="Q39" s="176" cm="1">
        <f t="array" ref="Q39">10^3*(_xlfn.XLOOKUP(Q$8,'Master Data'!$C$2:$W$2,_xlfn.XLOOKUP($A39,'Master Data'!$B$3:$B$122,'Master Data'!$C$3:$W$122))-$B39)</f>
        <v>7000</v>
      </c>
      <c r="R39" s="176" cm="1">
        <f t="array" ref="R39">10^3*(_xlfn.XLOOKUP(R$8,'Master Data'!$C$2:$W$2,_xlfn.XLOOKUP($A39,'Master Data'!$B$3:$B$122,'Master Data'!$C$3:$W$122))-$B39)</f>
        <v>7000</v>
      </c>
      <c r="S39" s="176" cm="1">
        <f t="array" ref="S39">10^3*(_xlfn.XLOOKUP(S$8,'Master Data'!$C$2:$W$2,_xlfn.XLOOKUP($A39,'Master Data'!$B$3:$B$122,'Master Data'!$C$3:$W$122))-$B39)</f>
        <v>5000</v>
      </c>
      <c r="T39" s="176" cm="1">
        <f t="array" ref="T39">10^3*(_xlfn.XLOOKUP(T$8,'Master Data'!$C$2:$W$2,_xlfn.XLOOKUP($A39,'Master Data'!$B$3:$B$122,'Master Data'!$C$3:$W$122))-$B39)</f>
        <v>7000</v>
      </c>
      <c r="U39" s="176" cm="1">
        <f t="array" ref="U39">10^3*(_xlfn.XLOOKUP(U$8,'Master Data'!$C$2:$W$2,_xlfn.XLOOKUP($A39,'Master Data'!$B$3:$B$122,'Master Data'!$C$3:$W$122))-$B39)</f>
        <v>7000</v>
      </c>
      <c r="V39" s="176" cm="1">
        <f t="array" ref="V39">10^3*(_xlfn.XLOOKUP(V$8,'Master Data'!$C$2:$W$2,_xlfn.XLOOKUP($A39,'Master Data'!$B$3:$B$122,'Master Data'!$C$3:$W$122))-$B39)</f>
        <v>7000</v>
      </c>
      <c r="W39" s="176" cm="1">
        <f t="array" ref="W39">10^3*(_xlfn.XLOOKUP(W$8,'Master Data'!$C$2:$W$2,_xlfn.XLOOKUP($A39,'Master Data'!$B$3:$B$122,'Master Data'!$C$3:$W$122))-$B39)</f>
        <v>5000</v>
      </c>
      <c r="X39" s="176" cm="1">
        <f t="array" ref="X39">10^3*(_xlfn.XLOOKUP(X$8,'Master Data'!$C$2:$W$2,_xlfn.XLOOKUP($A39,'Master Data'!$B$3:$B$122,'Master Data'!$C$3:$W$122))-$B39)</f>
        <v>5000</v>
      </c>
      <c r="Y39" s="177" cm="1">
        <f t="array" ref="Y39">10^3*(_xlfn.XLOOKUP(Y$8,'Master Data'!$C$2:$W$2,_xlfn.XLOOKUP($A39,'Master Data'!$B$3:$B$122,'Master Data'!$C$3:$W$122))-$B39)</f>
        <v>5000</v>
      </c>
      <c r="Z39" s="177" t="e" cm="1">
        <f t="array" ref="Z39">10^3*(_xlfn.XLOOKUP(Z$8,'Master Data'!$C$2:$W$2,_xlfn.XLOOKUP($A39,'Master Data'!$B$3:$B$122,'Master Data'!$C$3:$W$122))-$B39)</f>
        <v>#N/A</v>
      </c>
      <c r="AA39" s="177" t="e" cm="1">
        <f t="array" ref="AA39">10^3*(_xlfn.XLOOKUP(AA$8,'Master Data'!$C$2:$W$2,_xlfn.XLOOKUP($A39,'Master Data'!$B$3:$B$122,'Master Data'!$C$3:$W$122))-$B39)</f>
        <v>#N/A</v>
      </c>
    </row>
    <row r="40" spans="1:27" s="172" customFormat="1" x14ac:dyDescent="0.25">
      <c r="A40" s="173" t="s">
        <v>23</v>
      </c>
      <c r="B40" s="174">
        <v>75</v>
      </c>
      <c r="C40" s="172" t="b">
        <f>ISNUMBER(_xlfn.XMATCH(A40,'Master Data'!$B$3:$B$122))</f>
        <v>1</v>
      </c>
      <c r="E40" s="175" cm="1">
        <f t="array" ref="E40">10^3*(_xlfn.XLOOKUP(E$8,'Master Data'!$C$2:$W$2,_xlfn.XLOOKUP($A40,'Master Data'!$B$3:$B$122,'Master Data'!$C$3:$W$122))-$B40)</f>
        <v>8000</v>
      </c>
      <c r="F40" s="176" cm="1">
        <f t="array" ref="F40">10^3*(_xlfn.XLOOKUP(F$8,'Master Data'!$C$2:$W$2,_xlfn.XLOOKUP($A40,'Master Data'!$B$3:$B$122,'Master Data'!$C$3:$W$122))-$B40)</f>
        <v>8000</v>
      </c>
      <c r="G40" s="176" cm="1">
        <f t="array" ref="G40">10^3*(_xlfn.XLOOKUP(G$8,'Master Data'!$C$2:$W$2,_xlfn.XLOOKUP($A40,'Master Data'!$B$3:$B$122,'Master Data'!$C$3:$W$122))-$B40)</f>
        <v>5000</v>
      </c>
      <c r="H40" s="176" cm="1">
        <f t="array" ref="H40">10^3*(_xlfn.XLOOKUP(H$8,'Master Data'!$C$2:$W$2,_xlfn.XLOOKUP($A40,'Master Data'!$B$3:$B$122,'Master Data'!$C$3:$W$122))-$B40)</f>
        <v>5000</v>
      </c>
      <c r="I40" s="176" cm="1">
        <f t="array" ref="I40">10^3*(_xlfn.XLOOKUP(I$8,'Master Data'!$C$2:$W$2,_xlfn.XLOOKUP($A40,'Master Data'!$B$3:$B$122,'Master Data'!$C$3:$W$122))-$B40)</f>
        <v>5000</v>
      </c>
      <c r="J40" s="176" cm="1">
        <f t="array" ref="J40">10^3*(_xlfn.XLOOKUP(J$8,'Master Data'!$C$2:$W$2,_xlfn.XLOOKUP($A40,'Master Data'!$B$3:$B$122,'Master Data'!$C$3:$W$122))-$B40)</f>
        <v>5000</v>
      </c>
      <c r="K40" s="176" cm="1">
        <f t="array" ref="K40">10^3*(_xlfn.XLOOKUP(K$8,'Master Data'!$C$2:$W$2,_xlfn.XLOOKUP($A40,'Master Data'!$B$3:$B$122,'Master Data'!$C$3:$W$122))-$B40)</f>
        <v>5000</v>
      </c>
      <c r="L40" s="176" cm="1">
        <f t="array" ref="L40">10^3*(_xlfn.XLOOKUP(L$8,'Master Data'!$C$2:$W$2,_xlfn.XLOOKUP($A40,'Master Data'!$B$3:$B$122,'Master Data'!$C$3:$W$122))-$B40)</f>
        <v>5000</v>
      </c>
      <c r="M40" s="176" cm="1">
        <f t="array" ref="M40">10^3*(_xlfn.XLOOKUP(M$8,'Master Data'!$C$2:$W$2,_xlfn.XLOOKUP($A40,'Master Data'!$B$3:$B$122,'Master Data'!$C$3:$W$122))-$B40)</f>
        <v>5000</v>
      </c>
      <c r="N40" s="176" cm="1">
        <f t="array" ref="N40">10^3*(_xlfn.XLOOKUP(N$8,'Master Data'!$C$2:$W$2,_xlfn.XLOOKUP($A40,'Master Data'!$B$3:$B$122,'Master Data'!$C$3:$W$122))-$B40)</f>
        <v>5000</v>
      </c>
      <c r="O40" s="176" cm="1">
        <f t="array" ref="O40">10^3*(_xlfn.XLOOKUP(O$8,'Master Data'!$C$2:$W$2,_xlfn.XLOOKUP($A40,'Master Data'!$B$3:$B$122,'Master Data'!$C$3:$W$122))-$B40)</f>
        <v>5000</v>
      </c>
      <c r="P40" s="176" cm="1">
        <f t="array" ref="P40">10^3*(_xlfn.XLOOKUP(P$8,'Master Data'!$C$2:$W$2,_xlfn.XLOOKUP($A40,'Master Data'!$B$3:$B$122,'Master Data'!$C$3:$W$122))-$B40)</f>
        <v>8000</v>
      </c>
      <c r="Q40" s="176" cm="1">
        <f t="array" ref="Q40">10^3*(_xlfn.XLOOKUP(Q$8,'Master Data'!$C$2:$W$2,_xlfn.XLOOKUP($A40,'Master Data'!$B$3:$B$122,'Master Data'!$C$3:$W$122))-$B40)</f>
        <v>8000</v>
      </c>
      <c r="R40" s="176" cm="1">
        <f t="array" ref="R40">10^3*(_xlfn.XLOOKUP(R$8,'Master Data'!$C$2:$W$2,_xlfn.XLOOKUP($A40,'Master Data'!$B$3:$B$122,'Master Data'!$C$3:$W$122))-$B40)</f>
        <v>10000</v>
      </c>
      <c r="S40" s="176" cm="1">
        <f t="array" ref="S40">10^3*(_xlfn.XLOOKUP(S$8,'Master Data'!$C$2:$W$2,_xlfn.XLOOKUP($A40,'Master Data'!$B$3:$B$122,'Master Data'!$C$3:$W$122))-$B40)</f>
        <v>5000</v>
      </c>
      <c r="T40" s="176" cm="1">
        <f t="array" ref="T40">10^3*(_xlfn.XLOOKUP(T$8,'Master Data'!$C$2:$W$2,_xlfn.XLOOKUP($A40,'Master Data'!$B$3:$B$122,'Master Data'!$C$3:$W$122))-$B40)</f>
        <v>8000</v>
      </c>
      <c r="U40" s="176" cm="1">
        <f t="array" ref="U40">10^3*(_xlfn.XLOOKUP(U$8,'Master Data'!$C$2:$W$2,_xlfn.XLOOKUP($A40,'Master Data'!$B$3:$B$122,'Master Data'!$C$3:$W$122))-$B40)</f>
        <v>8000</v>
      </c>
      <c r="V40" s="176" cm="1">
        <f t="array" ref="V40">10^3*(_xlfn.XLOOKUP(V$8,'Master Data'!$C$2:$W$2,_xlfn.XLOOKUP($A40,'Master Data'!$B$3:$B$122,'Master Data'!$C$3:$W$122))-$B40)</f>
        <v>8000</v>
      </c>
      <c r="W40" s="176" cm="1">
        <f t="array" ref="W40">10^3*(_xlfn.XLOOKUP(W$8,'Master Data'!$C$2:$W$2,_xlfn.XLOOKUP($A40,'Master Data'!$B$3:$B$122,'Master Data'!$C$3:$W$122))-$B40)</f>
        <v>5000</v>
      </c>
      <c r="X40" s="176" cm="1">
        <f t="array" ref="X40">10^3*(_xlfn.XLOOKUP(X$8,'Master Data'!$C$2:$W$2,_xlfn.XLOOKUP($A40,'Master Data'!$B$3:$B$122,'Master Data'!$C$3:$W$122))-$B40)</f>
        <v>5000</v>
      </c>
      <c r="Y40" s="177" cm="1">
        <f t="array" ref="Y40">10^3*(_xlfn.XLOOKUP(Y$8,'Master Data'!$C$2:$W$2,_xlfn.XLOOKUP($A40,'Master Data'!$B$3:$B$122,'Master Data'!$C$3:$W$122))-$B40)</f>
        <v>5000</v>
      </c>
      <c r="Z40" s="177" t="e" cm="1">
        <f t="array" ref="Z40">10^3*(_xlfn.XLOOKUP(Z$8,'Master Data'!$C$2:$W$2,_xlfn.XLOOKUP($A40,'Master Data'!$B$3:$B$122,'Master Data'!$C$3:$W$122))-$B40)</f>
        <v>#N/A</v>
      </c>
      <c r="AA40" s="177" t="e" cm="1">
        <f t="array" ref="AA40">10^3*(_xlfn.XLOOKUP(AA$8,'Master Data'!$C$2:$W$2,_xlfn.XLOOKUP($A40,'Master Data'!$B$3:$B$122,'Master Data'!$C$3:$W$122))-$B40)</f>
        <v>#N/A</v>
      </c>
    </row>
    <row r="41" spans="1:27" s="172" customFormat="1" x14ac:dyDescent="0.25">
      <c r="A41" s="158" t="s">
        <v>153</v>
      </c>
      <c r="B41" s="167">
        <v>78</v>
      </c>
      <c r="C41" s="168" t="b">
        <f>ISNUMBER(_xlfn.XMATCH(A41,'Master Data'!$B$3:$B$122))</f>
        <v>1</v>
      </c>
      <c r="D41" s="168"/>
      <c r="E41" s="169" cm="1">
        <f t="array" ref="E41">10^3*(_xlfn.XLOOKUP(E$8,'Master Data'!$C$2:$W$2,_xlfn.XLOOKUP($A41,'Master Data'!$B$3:$B$122,'Master Data'!$C$3:$W$122))-$B41)</f>
        <v>-78000</v>
      </c>
      <c r="F41" s="170" cm="1">
        <f t="array" ref="F41">10^3*(_xlfn.XLOOKUP(F$8,'Master Data'!$C$2:$W$2,_xlfn.XLOOKUP($A41,'Master Data'!$B$3:$B$122,'Master Data'!$C$3:$W$122))-$B41)</f>
        <v>-78000</v>
      </c>
      <c r="G41" s="170" cm="1">
        <f t="array" ref="G41">10^3*(_xlfn.XLOOKUP(G$8,'Master Data'!$C$2:$W$2,_xlfn.XLOOKUP($A41,'Master Data'!$B$3:$B$122,'Master Data'!$C$3:$W$122))-$B41)</f>
        <v>-78000</v>
      </c>
      <c r="H41" s="170" cm="1">
        <f t="array" ref="H41">10^3*(_xlfn.XLOOKUP(H$8,'Master Data'!$C$2:$W$2,_xlfn.XLOOKUP($A41,'Master Data'!$B$3:$B$122,'Master Data'!$C$3:$W$122))-$B41)</f>
        <v>-78000</v>
      </c>
      <c r="I41" s="170" cm="1">
        <f t="array" ref="I41">10^3*(_xlfn.XLOOKUP(I$8,'Master Data'!$C$2:$W$2,_xlfn.XLOOKUP($A41,'Master Data'!$B$3:$B$122,'Master Data'!$C$3:$W$122))-$B41)</f>
        <v>-78000</v>
      </c>
      <c r="J41" s="170" cm="1">
        <f t="array" ref="J41">10^3*(_xlfn.XLOOKUP(J$8,'Master Data'!$C$2:$W$2,_xlfn.XLOOKUP($A41,'Master Data'!$B$3:$B$122,'Master Data'!$C$3:$W$122))-$B41)</f>
        <v>-78000</v>
      </c>
      <c r="K41" s="170" cm="1">
        <f t="array" ref="K41">10^3*(_xlfn.XLOOKUP(K$8,'Master Data'!$C$2:$W$2,_xlfn.XLOOKUP($A41,'Master Data'!$B$3:$B$122,'Master Data'!$C$3:$W$122))-$B41)</f>
        <v>-78000</v>
      </c>
      <c r="L41" s="170" cm="1">
        <f t="array" ref="L41">10^3*(_xlfn.XLOOKUP(L$8,'Master Data'!$C$2:$W$2,_xlfn.XLOOKUP($A41,'Master Data'!$B$3:$B$122,'Master Data'!$C$3:$W$122))-$B41)</f>
        <v>-78000</v>
      </c>
      <c r="M41" s="170" cm="1">
        <f t="array" ref="M41">10^3*(_xlfn.XLOOKUP(M$8,'Master Data'!$C$2:$W$2,_xlfn.XLOOKUP($A41,'Master Data'!$B$3:$B$122,'Master Data'!$C$3:$W$122))-$B41)</f>
        <v>-78000</v>
      </c>
      <c r="N41" s="170" cm="1">
        <f t="array" ref="N41">10^3*(_xlfn.XLOOKUP(N$8,'Master Data'!$C$2:$W$2,_xlfn.XLOOKUP($A41,'Master Data'!$B$3:$B$122,'Master Data'!$C$3:$W$122))-$B41)</f>
        <v>-78000</v>
      </c>
      <c r="O41" s="170" cm="1">
        <f t="array" ref="O41">10^3*(_xlfn.XLOOKUP(O$8,'Master Data'!$C$2:$W$2,_xlfn.XLOOKUP($A41,'Master Data'!$B$3:$B$122,'Master Data'!$C$3:$W$122))-$B41)</f>
        <v>-78000</v>
      </c>
      <c r="P41" s="170" cm="1">
        <f t="array" ref="P41">10^3*(_xlfn.XLOOKUP(P$8,'Master Data'!$C$2:$W$2,_xlfn.XLOOKUP($A41,'Master Data'!$B$3:$B$122,'Master Data'!$C$3:$W$122))-$B41)</f>
        <v>-78000</v>
      </c>
      <c r="Q41" s="170" cm="1">
        <f t="array" ref="Q41">10^3*(_xlfn.XLOOKUP(Q$8,'Master Data'!$C$2:$W$2,_xlfn.XLOOKUP($A41,'Master Data'!$B$3:$B$122,'Master Data'!$C$3:$W$122))-$B41)</f>
        <v>-78000</v>
      </c>
      <c r="R41" s="170" cm="1">
        <f t="array" ref="R41">10^3*(_xlfn.XLOOKUP(R$8,'Master Data'!$C$2:$W$2,_xlfn.XLOOKUP($A41,'Master Data'!$B$3:$B$122,'Master Data'!$C$3:$W$122))-$B41)</f>
        <v>-78000</v>
      </c>
      <c r="S41" s="170" cm="1">
        <f t="array" ref="S41">10^3*(_xlfn.XLOOKUP(S$8,'Master Data'!$C$2:$W$2,_xlfn.XLOOKUP($A41,'Master Data'!$B$3:$B$122,'Master Data'!$C$3:$W$122))-$B41)</f>
        <v>-78000</v>
      </c>
      <c r="T41" s="170" cm="1">
        <f t="array" ref="T41">10^3*(_xlfn.XLOOKUP(T$8,'Master Data'!$C$2:$W$2,_xlfn.XLOOKUP($A41,'Master Data'!$B$3:$B$122,'Master Data'!$C$3:$W$122))-$B41)</f>
        <v>-78000</v>
      </c>
      <c r="U41" s="170" cm="1">
        <f t="array" ref="U41">10^3*(_xlfn.XLOOKUP(U$8,'Master Data'!$C$2:$W$2,_xlfn.XLOOKUP($A41,'Master Data'!$B$3:$B$122,'Master Data'!$C$3:$W$122))-$B41)</f>
        <v>-78000</v>
      </c>
      <c r="V41" s="170" cm="1">
        <f t="array" ref="V41">10^3*(_xlfn.XLOOKUP(V$8,'Master Data'!$C$2:$W$2,_xlfn.XLOOKUP($A41,'Master Data'!$B$3:$B$122,'Master Data'!$C$3:$W$122))-$B41)</f>
        <v>-78000</v>
      </c>
      <c r="W41" s="170" cm="1">
        <f t="array" ref="W41">10^3*(_xlfn.XLOOKUP(W$8,'Master Data'!$C$2:$W$2,_xlfn.XLOOKUP($A41,'Master Data'!$B$3:$B$122,'Master Data'!$C$3:$W$122))-$B41)</f>
        <v>-78000</v>
      </c>
      <c r="X41" s="170" cm="1">
        <f t="array" ref="X41">10^3*(_xlfn.XLOOKUP(X$8,'Master Data'!$C$2:$W$2,_xlfn.XLOOKUP($A41,'Master Data'!$B$3:$B$122,'Master Data'!$C$3:$W$122))-$B41)</f>
        <v>-78000</v>
      </c>
      <c r="Y41" s="171" cm="1">
        <f t="array" ref="Y41">10^3*(_xlfn.XLOOKUP(Y$8,'Master Data'!$C$2:$W$2,_xlfn.XLOOKUP($A41,'Master Data'!$B$3:$B$122,'Master Data'!$C$3:$W$122))-$B41)</f>
        <v>-78000</v>
      </c>
      <c r="Z41" s="171" t="e" cm="1">
        <f t="array" ref="Z41">10^3*(_xlfn.XLOOKUP(Z$8,'Master Data'!$C$2:$W$2,_xlfn.XLOOKUP($A41,'Master Data'!$B$3:$B$122,'Master Data'!$C$3:$W$122))-$B41)</f>
        <v>#N/A</v>
      </c>
      <c r="AA41" s="171" t="e" cm="1">
        <f t="array" ref="AA41">10^3*(_xlfn.XLOOKUP(AA$8,'Master Data'!$C$2:$W$2,_xlfn.XLOOKUP($A41,'Master Data'!$B$3:$B$122,'Master Data'!$C$3:$W$122))-$B41)</f>
        <v>#N/A</v>
      </c>
    </row>
    <row r="42" spans="1:27" s="172" customFormat="1" x14ac:dyDescent="0.25">
      <c r="A42" s="158" t="s">
        <v>152</v>
      </c>
      <c r="B42" s="167">
        <v>78</v>
      </c>
      <c r="C42" s="168" t="b">
        <f>ISNUMBER(_xlfn.XMATCH(A42,'Master Data'!$B$3:$B$122))</f>
        <v>1</v>
      </c>
      <c r="D42" s="168"/>
      <c r="E42" s="169" cm="1">
        <f t="array" ref="E42">10^3*(_xlfn.XLOOKUP(E$8,'Master Data'!$C$2:$W$2,_xlfn.XLOOKUP($A42,'Master Data'!$B$3:$B$122,'Master Data'!$C$3:$W$122))-$B42)</f>
        <v>-78000</v>
      </c>
      <c r="F42" s="170" cm="1">
        <f t="array" ref="F42">10^3*(_xlfn.XLOOKUP(F$8,'Master Data'!$C$2:$W$2,_xlfn.XLOOKUP($A42,'Master Data'!$B$3:$B$122,'Master Data'!$C$3:$W$122))-$B42)</f>
        <v>-78000</v>
      </c>
      <c r="G42" s="170" cm="1">
        <f t="array" ref="G42">10^3*(_xlfn.XLOOKUP(G$8,'Master Data'!$C$2:$W$2,_xlfn.XLOOKUP($A42,'Master Data'!$B$3:$B$122,'Master Data'!$C$3:$W$122))-$B42)</f>
        <v>-78000</v>
      </c>
      <c r="H42" s="170" cm="1">
        <f t="array" ref="H42">10^3*(_xlfn.XLOOKUP(H$8,'Master Data'!$C$2:$W$2,_xlfn.XLOOKUP($A42,'Master Data'!$B$3:$B$122,'Master Data'!$C$3:$W$122))-$B42)</f>
        <v>-78000</v>
      </c>
      <c r="I42" s="170" cm="1">
        <f t="array" ref="I42">10^3*(_xlfn.XLOOKUP(I$8,'Master Data'!$C$2:$W$2,_xlfn.XLOOKUP($A42,'Master Data'!$B$3:$B$122,'Master Data'!$C$3:$W$122))-$B42)</f>
        <v>-78000</v>
      </c>
      <c r="J42" s="170" cm="1">
        <f t="array" ref="J42">10^3*(_xlfn.XLOOKUP(J$8,'Master Data'!$C$2:$W$2,_xlfn.XLOOKUP($A42,'Master Data'!$B$3:$B$122,'Master Data'!$C$3:$W$122))-$B42)</f>
        <v>-78000</v>
      </c>
      <c r="K42" s="170" cm="1">
        <f t="array" ref="K42">10^3*(_xlfn.XLOOKUP(K$8,'Master Data'!$C$2:$W$2,_xlfn.XLOOKUP($A42,'Master Data'!$B$3:$B$122,'Master Data'!$C$3:$W$122))-$B42)</f>
        <v>-78000</v>
      </c>
      <c r="L42" s="170" cm="1">
        <f t="array" ref="L42">10^3*(_xlfn.XLOOKUP(L$8,'Master Data'!$C$2:$W$2,_xlfn.XLOOKUP($A42,'Master Data'!$B$3:$B$122,'Master Data'!$C$3:$W$122))-$B42)</f>
        <v>-78000</v>
      </c>
      <c r="M42" s="170" cm="1">
        <f t="array" ref="M42">10^3*(_xlfn.XLOOKUP(M$8,'Master Data'!$C$2:$W$2,_xlfn.XLOOKUP($A42,'Master Data'!$B$3:$B$122,'Master Data'!$C$3:$W$122))-$B42)</f>
        <v>-78000</v>
      </c>
      <c r="N42" s="170" cm="1">
        <f t="array" ref="N42">10^3*(_xlfn.XLOOKUP(N$8,'Master Data'!$C$2:$W$2,_xlfn.XLOOKUP($A42,'Master Data'!$B$3:$B$122,'Master Data'!$C$3:$W$122))-$B42)</f>
        <v>-78000</v>
      </c>
      <c r="O42" s="170" cm="1">
        <f t="array" ref="O42">10^3*(_xlfn.XLOOKUP(O$8,'Master Data'!$C$2:$W$2,_xlfn.XLOOKUP($A42,'Master Data'!$B$3:$B$122,'Master Data'!$C$3:$W$122))-$B42)</f>
        <v>-78000</v>
      </c>
      <c r="P42" s="170" cm="1">
        <f t="array" ref="P42">10^3*(_xlfn.XLOOKUP(P$8,'Master Data'!$C$2:$W$2,_xlfn.XLOOKUP($A42,'Master Data'!$B$3:$B$122,'Master Data'!$C$3:$W$122))-$B42)</f>
        <v>-78000</v>
      </c>
      <c r="Q42" s="170" cm="1">
        <f t="array" ref="Q42">10^3*(_xlfn.XLOOKUP(Q$8,'Master Data'!$C$2:$W$2,_xlfn.XLOOKUP($A42,'Master Data'!$B$3:$B$122,'Master Data'!$C$3:$W$122))-$B42)</f>
        <v>-78000</v>
      </c>
      <c r="R42" s="170" cm="1">
        <f t="array" ref="R42">10^3*(_xlfn.XLOOKUP(R$8,'Master Data'!$C$2:$W$2,_xlfn.XLOOKUP($A42,'Master Data'!$B$3:$B$122,'Master Data'!$C$3:$W$122))-$B42)</f>
        <v>-78000</v>
      </c>
      <c r="S42" s="170" cm="1">
        <f t="array" ref="S42">10^3*(_xlfn.XLOOKUP(S$8,'Master Data'!$C$2:$W$2,_xlfn.XLOOKUP($A42,'Master Data'!$B$3:$B$122,'Master Data'!$C$3:$W$122))-$B42)</f>
        <v>-78000</v>
      </c>
      <c r="T42" s="170" cm="1">
        <f t="array" ref="T42">10^3*(_xlfn.XLOOKUP(T$8,'Master Data'!$C$2:$W$2,_xlfn.XLOOKUP($A42,'Master Data'!$B$3:$B$122,'Master Data'!$C$3:$W$122))-$B42)</f>
        <v>-78000</v>
      </c>
      <c r="U42" s="170" cm="1">
        <f t="array" ref="U42">10^3*(_xlfn.XLOOKUP(U$8,'Master Data'!$C$2:$W$2,_xlfn.XLOOKUP($A42,'Master Data'!$B$3:$B$122,'Master Data'!$C$3:$W$122))-$B42)</f>
        <v>-78000</v>
      </c>
      <c r="V42" s="170" cm="1">
        <f t="array" ref="V42">10^3*(_xlfn.XLOOKUP(V$8,'Master Data'!$C$2:$W$2,_xlfn.XLOOKUP($A42,'Master Data'!$B$3:$B$122,'Master Data'!$C$3:$W$122))-$B42)</f>
        <v>-78000</v>
      </c>
      <c r="W42" s="170" cm="1">
        <f t="array" ref="W42">10^3*(_xlfn.XLOOKUP(W$8,'Master Data'!$C$2:$W$2,_xlfn.XLOOKUP($A42,'Master Data'!$B$3:$B$122,'Master Data'!$C$3:$W$122))-$B42)</f>
        <v>-78000</v>
      </c>
      <c r="X42" s="170" cm="1">
        <f t="array" ref="X42">10^3*(_xlfn.XLOOKUP(X$8,'Master Data'!$C$2:$W$2,_xlfn.XLOOKUP($A42,'Master Data'!$B$3:$B$122,'Master Data'!$C$3:$W$122))-$B42)</f>
        <v>-78000</v>
      </c>
      <c r="Y42" s="171" cm="1">
        <f t="array" ref="Y42">10^3*(_xlfn.XLOOKUP(Y$8,'Master Data'!$C$2:$W$2,_xlfn.XLOOKUP($A42,'Master Data'!$B$3:$B$122,'Master Data'!$C$3:$W$122))-$B42)</f>
        <v>-78000</v>
      </c>
      <c r="Z42" s="171" t="e" cm="1">
        <f t="array" ref="Z42">10^3*(_xlfn.XLOOKUP(Z$8,'Master Data'!$C$2:$W$2,_xlfn.XLOOKUP($A42,'Master Data'!$B$3:$B$122,'Master Data'!$C$3:$W$122))-$B42)</f>
        <v>#N/A</v>
      </c>
      <c r="AA42" s="171" t="e" cm="1">
        <f t="array" ref="AA42">10^3*(_xlfn.XLOOKUP(AA$8,'Master Data'!$C$2:$W$2,_xlfn.XLOOKUP($A42,'Master Data'!$B$3:$B$122,'Master Data'!$C$3:$W$122))-$B42)</f>
        <v>#N/A</v>
      </c>
    </row>
    <row r="43" spans="1:27" s="172" customFormat="1" x14ac:dyDescent="0.25">
      <c r="A43" s="158" t="s">
        <v>199</v>
      </c>
      <c r="B43" s="167">
        <v>78</v>
      </c>
      <c r="C43" s="168" t="b">
        <f>ISNUMBER(_xlfn.XMATCH(A43,'Master Data'!$B$3:$B$122))</f>
        <v>1</v>
      </c>
      <c r="D43" s="168"/>
      <c r="E43" s="169" cm="1">
        <f t="array" ref="E43">10^3*(_xlfn.XLOOKUP(E$8,'Master Data'!$C$2:$W$2,_xlfn.XLOOKUP($A43,'Master Data'!$B$3:$B$122,'Master Data'!$C$3:$W$122))-$B43)</f>
        <v>-78000</v>
      </c>
      <c r="F43" s="170" cm="1">
        <f t="array" ref="F43">10^3*(_xlfn.XLOOKUP(F$8,'Master Data'!$C$2:$W$2,_xlfn.XLOOKUP($A43,'Master Data'!$B$3:$B$122,'Master Data'!$C$3:$W$122))-$B43)</f>
        <v>-78000</v>
      </c>
      <c r="G43" s="170" cm="1">
        <f t="array" ref="G43">10^3*(_xlfn.XLOOKUP(G$8,'Master Data'!$C$2:$W$2,_xlfn.XLOOKUP($A43,'Master Data'!$B$3:$B$122,'Master Data'!$C$3:$W$122))-$B43)</f>
        <v>-78000</v>
      </c>
      <c r="H43" s="170" cm="1">
        <f t="array" ref="H43">10^3*(_xlfn.XLOOKUP(H$8,'Master Data'!$C$2:$W$2,_xlfn.XLOOKUP($A43,'Master Data'!$B$3:$B$122,'Master Data'!$C$3:$W$122))-$B43)</f>
        <v>-78000</v>
      </c>
      <c r="I43" s="170" cm="1">
        <f t="array" ref="I43">10^3*(_xlfn.XLOOKUP(I$8,'Master Data'!$C$2:$W$2,_xlfn.XLOOKUP($A43,'Master Data'!$B$3:$B$122,'Master Data'!$C$3:$W$122))-$B43)</f>
        <v>-78000</v>
      </c>
      <c r="J43" s="170" cm="1">
        <f t="array" ref="J43">10^3*(_xlfn.XLOOKUP(J$8,'Master Data'!$C$2:$W$2,_xlfn.XLOOKUP($A43,'Master Data'!$B$3:$B$122,'Master Data'!$C$3:$W$122))-$B43)</f>
        <v>-78000</v>
      </c>
      <c r="K43" s="170" cm="1">
        <f t="array" ref="K43">10^3*(_xlfn.XLOOKUP(K$8,'Master Data'!$C$2:$W$2,_xlfn.XLOOKUP($A43,'Master Data'!$B$3:$B$122,'Master Data'!$C$3:$W$122))-$B43)</f>
        <v>-78000</v>
      </c>
      <c r="L43" s="170" cm="1">
        <f t="array" ref="L43">10^3*(_xlfn.XLOOKUP(L$8,'Master Data'!$C$2:$W$2,_xlfn.XLOOKUP($A43,'Master Data'!$B$3:$B$122,'Master Data'!$C$3:$W$122))-$B43)</f>
        <v>-78000</v>
      </c>
      <c r="M43" s="170" cm="1">
        <f t="array" ref="M43">10^3*(_xlfn.XLOOKUP(M$8,'Master Data'!$C$2:$W$2,_xlfn.XLOOKUP($A43,'Master Data'!$B$3:$B$122,'Master Data'!$C$3:$W$122))-$B43)</f>
        <v>-78000</v>
      </c>
      <c r="N43" s="170" cm="1">
        <f t="array" ref="N43">10^3*(_xlfn.XLOOKUP(N$8,'Master Data'!$C$2:$W$2,_xlfn.XLOOKUP($A43,'Master Data'!$B$3:$B$122,'Master Data'!$C$3:$W$122))-$B43)</f>
        <v>-78000</v>
      </c>
      <c r="O43" s="170" cm="1">
        <f t="array" ref="O43">10^3*(_xlfn.XLOOKUP(O$8,'Master Data'!$C$2:$W$2,_xlfn.XLOOKUP($A43,'Master Data'!$B$3:$B$122,'Master Data'!$C$3:$W$122))-$B43)</f>
        <v>-78000</v>
      </c>
      <c r="P43" s="170" cm="1">
        <f t="array" ref="P43">10^3*(_xlfn.XLOOKUP(P$8,'Master Data'!$C$2:$W$2,_xlfn.XLOOKUP($A43,'Master Data'!$B$3:$B$122,'Master Data'!$C$3:$W$122))-$B43)</f>
        <v>-78000</v>
      </c>
      <c r="Q43" s="170" cm="1">
        <f t="array" ref="Q43">10^3*(_xlfn.XLOOKUP(Q$8,'Master Data'!$C$2:$W$2,_xlfn.XLOOKUP($A43,'Master Data'!$B$3:$B$122,'Master Data'!$C$3:$W$122))-$B43)</f>
        <v>-78000</v>
      </c>
      <c r="R43" s="170" cm="1">
        <f t="array" ref="R43">10^3*(_xlfn.XLOOKUP(R$8,'Master Data'!$C$2:$W$2,_xlfn.XLOOKUP($A43,'Master Data'!$B$3:$B$122,'Master Data'!$C$3:$W$122))-$B43)</f>
        <v>-78000</v>
      </c>
      <c r="S43" s="170" cm="1">
        <f t="array" ref="S43">10^3*(_xlfn.XLOOKUP(S$8,'Master Data'!$C$2:$W$2,_xlfn.XLOOKUP($A43,'Master Data'!$B$3:$B$122,'Master Data'!$C$3:$W$122))-$B43)</f>
        <v>-78000</v>
      </c>
      <c r="T43" s="170" cm="1">
        <f t="array" ref="T43">10^3*(_xlfn.XLOOKUP(T$8,'Master Data'!$C$2:$W$2,_xlfn.XLOOKUP($A43,'Master Data'!$B$3:$B$122,'Master Data'!$C$3:$W$122))-$B43)</f>
        <v>-78000</v>
      </c>
      <c r="U43" s="170" cm="1">
        <f t="array" ref="U43">10^3*(_xlfn.XLOOKUP(U$8,'Master Data'!$C$2:$W$2,_xlfn.XLOOKUP($A43,'Master Data'!$B$3:$B$122,'Master Data'!$C$3:$W$122))-$B43)</f>
        <v>-78000</v>
      </c>
      <c r="V43" s="170" cm="1">
        <f t="array" ref="V43">10^3*(_xlfn.XLOOKUP(V$8,'Master Data'!$C$2:$W$2,_xlfn.XLOOKUP($A43,'Master Data'!$B$3:$B$122,'Master Data'!$C$3:$W$122))-$B43)</f>
        <v>-78000</v>
      </c>
      <c r="W43" s="170" cm="1">
        <f t="array" ref="W43">10^3*(_xlfn.XLOOKUP(W$8,'Master Data'!$C$2:$W$2,_xlfn.XLOOKUP($A43,'Master Data'!$B$3:$B$122,'Master Data'!$C$3:$W$122))-$B43)</f>
        <v>-78000</v>
      </c>
      <c r="X43" s="170" cm="1">
        <f t="array" ref="X43">10^3*(_xlfn.XLOOKUP(X$8,'Master Data'!$C$2:$W$2,_xlfn.XLOOKUP($A43,'Master Data'!$B$3:$B$122,'Master Data'!$C$3:$W$122))-$B43)</f>
        <v>-78000</v>
      </c>
      <c r="Y43" s="171" cm="1">
        <f t="array" ref="Y43">10^3*(_xlfn.XLOOKUP(Y$8,'Master Data'!$C$2:$W$2,_xlfn.XLOOKUP($A43,'Master Data'!$B$3:$B$122,'Master Data'!$C$3:$W$122))-$B43)</f>
        <v>-78000</v>
      </c>
      <c r="Z43" s="171" t="e" cm="1">
        <f t="array" ref="Z43">10^3*(_xlfn.XLOOKUP(Z$8,'Master Data'!$C$2:$W$2,_xlfn.XLOOKUP($A43,'Master Data'!$B$3:$B$122,'Master Data'!$C$3:$W$122))-$B43)</f>
        <v>#N/A</v>
      </c>
      <c r="AA43" s="171" t="e" cm="1">
        <f t="array" ref="AA43">10^3*(_xlfn.XLOOKUP(AA$8,'Master Data'!$C$2:$W$2,_xlfn.XLOOKUP($A43,'Master Data'!$B$3:$B$122,'Master Data'!$C$3:$W$122))-$B43)</f>
        <v>#N/A</v>
      </c>
    </row>
    <row r="44" spans="1:27" s="172" customFormat="1" x14ac:dyDescent="0.25">
      <c r="A44" s="158" t="s">
        <v>200</v>
      </c>
      <c r="B44" s="167">
        <v>78</v>
      </c>
      <c r="C44" s="168" t="b">
        <f>ISNUMBER(_xlfn.XMATCH(A44,'Master Data'!$B$3:$B$122))</f>
        <v>1</v>
      </c>
      <c r="D44" s="168"/>
      <c r="E44" s="169" cm="1">
        <f t="array" ref="E44">10^3*(_xlfn.XLOOKUP(E$8,'Master Data'!$C$2:$W$2,_xlfn.XLOOKUP($A44,'Master Data'!$B$3:$B$122,'Master Data'!$C$3:$W$122))-$B44)</f>
        <v>-78000</v>
      </c>
      <c r="F44" s="170" cm="1">
        <f t="array" ref="F44">10^3*(_xlfn.XLOOKUP(F$8,'Master Data'!$C$2:$W$2,_xlfn.XLOOKUP($A44,'Master Data'!$B$3:$B$122,'Master Data'!$C$3:$W$122))-$B44)</f>
        <v>-78000</v>
      </c>
      <c r="G44" s="170" cm="1">
        <f t="array" ref="G44">10^3*(_xlfn.XLOOKUP(G$8,'Master Data'!$C$2:$W$2,_xlfn.XLOOKUP($A44,'Master Data'!$B$3:$B$122,'Master Data'!$C$3:$W$122))-$B44)</f>
        <v>-78000</v>
      </c>
      <c r="H44" s="170" cm="1">
        <f t="array" ref="H44">10^3*(_xlfn.XLOOKUP(H$8,'Master Data'!$C$2:$W$2,_xlfn.XLOOKUP($A44,'Master Data'!$B$3:$B$122,'Master Data'!$C$3:$W$122))-$B44)</f>
        <v>-78000</v>
      </c>
      <c r="I44" s="170" cm="1">
        <f t="array" ref="I44">10^3*(_xlfn.XLOOKUP(I$8,'Master Data'!$C$2:$W$2,_xlfn.XLOOKUP($A44,'Master Data'!$B$3:$B$122,'Master Data'!$C$3:$W$122))-$B44)</f>
        <v>-78000</v>
      </c>
      <c r="J44" s="170" cm="1">
        <f t="array" ref="J44">10^3*(_xlfn.XLOOKUP(J$8,'Master Data'!$C$2:$W$2,_xlfn.XLOOKUP($A44,'Master Data'!$B$3:$B$122,'Master Data'!$C$3:$W$122))-$B44)</f>
        <v>-78000</v>
      </c>
      <c r="K44" s="170" cm="1">
        <f t="array" ref="K44">10^3*(_xlfn.XLOOKUP(K$8,'Master Data'!$C$2:$W$2,_xlfn.XLOOKUP($A44,'Master Data'!$B$3:$B$122,'Master Data'!$C$3:$W$122))-$B44)</f>
        <v>-78000</v>
      </c>
      <c r="L44" s="170" cm="1">
        <f t="array" ref="L44">10^3*(_xlfn.XLOOKUP(L$8,'Master Data'!$C$2:$W$2,_xlfn.XLOOKUP($A44,'Master Data'!$B$3:$B$122,'Master Data'!$C$3:$W$122))-$B44)</f>
        <v>-78000</v>
      </c>
      <c r="M44" s="170" cm="1">
        <f t="array" ref="M44">10^3*(_xlfn.XLOOKUP(M$8,'Master Data'!$C$2:$W$2,_xlfn.XLOOKUP($A44,'Master Data'!$B$3:$B$122,'Master Data'!$C$3:$W$122))-$B44)</f>
        <v>-78000</v>
      </c>
      <c r="N44" s="170" cm="1">
        <f t="array" ref="N44">10^3*(_xlfn.XLOOKUP(N$8,'Master Data'!$C$2:$W$2,_xlfn.XLOOKUP($A44,'Master Data'!$B$3:$B$122,'Master Data'!$C$3:$W$122))-$B44)</f>
        <v>-78000</v>
      </c>
      <c r="O44" s="170" cm="1">
        <f t="array" ref="O44">10^3*(_xlfn.XLOOKUP(O$8,'Master Data'!$C$2:$W$2,_xlfn.XLOOKUP($A44,'Master Data'!$B$3:$B$122,'Master Data'!$C$3:$W$122))-$B44)</f>
        <v>-78000</v>
      </c>
      <c r="P44" s="170" cm="1">
        <f t="array" ref="P44">10^3*(_xlfn.XLOOKUP(P$8,'Master Data'!$C$2:$W$2,_xlfn.XLOOKUP($A44,'Master Data'!$B$3:$B$122,'Master Data'!$C$3:$W$122))-$B44)</f>
        <v>-78000</v>
      </c>
      <c r="Q44" s="170" cm="1">
        <f t="array" ref="Q44">10^3*(_xlfn.XLOOKUP(Q$8,'Master Data'!$C$2:$W$2,_xlfn.XLOOKUP($A44,'Master Data'!$B$3:$B$122,'Master Data'!$C$3:$W$122))-$B44)</f>
        <v>-78000</v>
      </c>
      <c r="R44" s="170" cm="1">
        <f t="array" ref="R44">10^3*(_xlfn.XLOOKUP(R$8,'Master Data'!$C$2:$W$2,_xlfn.XLOOKUP($A44,'Master Data'!$B$3:$B$122,'Master Data'!$C$3:$W$122))-$B44)</f>
        <v>-78000</v>
      </c>
      <c r="S44" s="170" cm="1">
        <f t="array" ref="S44">10^3*(_xlfn.XLOOKUP(S$8,'Master Data'!$C$2:$W$2,_xlfn.XLOOKUP($A44,'Master Data'!$B$3:$B$122,'Master Data'!$C$3:$W$122))-$B44)</f>
        <v>-78000</v>
      </c>
      <c r="T44" s="170" cm="1">
        <f t="array" ref="T44">10^3*(_xlfn.XLOOKUP(T$8,'Master Data'!$C$2:$W$2,_xlfn.XLOOKUP($A44,'Master Data'!$B$3:$B$122,'Master Data'!$C$3:$W$122))-$B44)</f>
        <v>-78000</v>
      </c>
      <c r="U44" s="170" cm="1">
        <f t="array" ref="U44">10^3*(_xlfn.XLOOKUP(U$8,'Master Data'!$C$2:$W$2,_xlfn.XLOOKUP($A44,'Master Data'!$B$3:$B$122,'Master Data'!$C$3:$W$122))-$B44)</f>
        <v>-78000</v>
      </c>
      <c r="V44" s="170" cm="1">
        <f t="array" ref="V44">10^3*(_xlfn.XLOOKUP(V$8,'Master Data'!$C$2:$W$2,_xlfn.XLOOKUP($A44,'Master Data'!$B$3:$B$122,'Master Data'!$C$3:$W$122))-$B44)</f>
        <v>-78000</v>
      </c>
      <c r="W44" s="170" cm="1">
        <f t="array" ref="W44">10^3*(_xlfn.XLOOKUP(W$8,'Master Data'!$C$2:$W$2,_xlfn.XLOOKUP($A44,'Master Data'!$B$3:$B$122,'Master Data'!$C$3:$W$122))-$B44)</f>
        <v>-78000</v>
      </c>
      <c r="X44" s="170" cm="1">
        <f t="array" ref="X44">10^3*(_xlfn.XLOOKUP(X$8,'Master Data'!$C$2:$W$2,_xlfn.XLOOKUP($A44,'Master Data'!$B$3:$B$122,'Master Data'!$C$3:$W$122))-$B44)</f>
        <v>-78000</v>
      </c>
      <c r="Y44" s="171" cm="1">
        <f t="array" ref="Y44">10^3*(_xlfn.XLOOKUP(Y$8,'Master Data'!$C$2:$W$2,_xlfn.XLOOKUP($A44,'Master Data'!$B$3:$B$122,'Master Data'!$C$3:$W$122))-$B44)</f>
        <v>-78000</v>
      </c>
      <c r="Z44" s="171" t="e" cm="1">
        <f t="array" ref="Z44">10^3*(_xlfn.XLOOKUP(Z$8,'Master Data'!$C$2:$W$2,_xlfn.XLOOKUP($A44,'Master Data'!$B$3:$B$122,'Master Data'!$C$3:$W$122))-$B44)</f>
        <v>#N/A</v>
      </c>
      <c r="AA44" s="171" t="e" cm="1">
        <f t="array" ref="AA44">10^3*(_xlfn.XLOOKUP(AA$8,'Master Data'!$C$2:$W$2,_xlfn.XLOOKUP($A44,'Master Data'!$B$3:$B$122,'Master Data'!$C$3:$W$122))-$B44)</f>
        <v>#N/A</v>
      </c>
    </row>
    <row r="45" spans="1:27" s="172" customFormat="1" x14ac:dyDescent="0.25">
      <c r="A45" s="173" t="s">
        <v>27</v>
      </c>
      <c r="B45" s="174">
        <v>62</v>
      </c>
      <c r="C45" s="172" t="b">
        <f>ISNUMBER(_xlfn.XMATCH(A45,'Master Data'!$B$3:$B$122))</f>
        <v>1</v>
      </c>
      <c r="E45" s="175" cm="1">
        <f t="array" ref="E45">10^3*(_xlfn.XLOOKUP(E$8,'Master Data'!$C$2:$W$2,_xlfn.XLOOKUP($A45,'Master Data'!$B$3:$B$122,'Master Data'!$C$3:$W$122))-$B45)</f>
        <v>8000</v>
      </c>
      <c r="F45" s="176" cm="1">
        <f t="array" ref="F45">10^3*(_xlfn.XLOOKUP(F$8,'Master Data'!$C$2:$W$2,_xlfn.XLOOKUP($A45,'Master Data'!$B$3:$B$122,'Master Data'!$C$3:$W$122))-$B45)</f>
        <v>8000</v>
      </c>
      <c r="G45" s="176" cm="1">
        <f t="array" ref="G45">10^3*(_xlfn.XLOOKUP(G$8,'Master Data'!$C$2:$W$2,_xlfn.XLOOKUP($A45,'Master Data'!$B$3:$B$122,'Master Data'!$C$3:$W$122))-$B45)</f>
        <v>8000</v>
      </c>
      <c r="H45" s="176" cm="1">
        <f t="array" ref="H45">10^3*(_xlfn.XLOOKUP(H$8,'Master Data'!$C$2:$W$2,_xlfn.XLOOKUP($A45,'Master Data'!$B$3:$B$122,'Master Data'!$C$3:$W$122))-$B45)</f>
        <v>8000</v>
      </c>
      <c r="I45" s="176" cm="1">
        <f t="array" ref="I45">10^3*(_xlfn.XLOOKUP(I$8,'Master Data'!$C$2:$W$2,_xlfn.XLOOKUP($A45,'Master Data'!$B$3:$B$122,'Master Data'!$C$3:$W$122))-$B45)</f>
        <v>8000</v>
      </c>
      <c r="J45" s="176" cm="1">
        <f t="array" ref="J45">10^3*(_xlfn.XLOOKUP(J$8,'Master Data'!$C$2:$W$2,_xlfn.XLOOKUP($A45,'Master Data'!$B$3:$B$122,'Master Data'!$C$3:$W$122))-$B45)</f>
        <v>8000</v>
      </c>
      <c r="K45" s="176" cm="1">
        <f t="array" ref="K45">10^3*(_xlfn.XLOOKUP(K$8,'Master Data'!$C$2:$W$2,_xlfn.XLOOKUP($A45,'Master Data'!$B$3:$B$122,'Master Data'!$C$3:$W$122))-$B45)</f>
        <v>8000</v>
      </c>
      <c r="L45" s="176" cm="1">
        <f t="array" ref="L45">10^3*(_xlfn.XLOOKUP(L$8,'Master Data'!$C$2:$W$2,_xlfn.XLOOKUP($A45,'Master Data'!$B$3:$B$122,'Master Data'!$C$3:$W$122))-$B45)</f>
        <v>8000</v>
      </c>
      <c r="M45" s="176" cm="1">
        <f t="array" ref="M45">10^3*(_xlfn.XLOOKUP(M$8,'Master Data'!$C$2:$W$2,_xlfn.XLOOKUP($A45,'Master Data'!$B$3:$B$122,'Master Data'!$C$3:$W$122))-$B45)</f>
        <v>8000</v>
      </c>
      <c r="N45" s="176" cm="1">
        <f t="array" ref="N45">10^3*(_xlfn.XLOOKUP(N$8,'Master Data'!$C$2:$W$2,_xlfn.XLOOKUP($A45,'Master Data'!$B$3:$B$122,'Master Data'!$C$3:$W$122))-$B45)</f>
        <v>8000</v>
      </c>
      <c r="O45" s="176" cm="1">
        <f t="array" ref="O45">10^3*(_xlfn.XLOOKUP(O$8,'Master Data'!$C$2:$W$2,_xlfn.XLOOKUP($A45,'Master Data'!$B$3:$B$122,'Master Data'!$C$3:$W$122))-$B45)</f>
        <v>8000</v>
      </c>
      <c r="P45" s="176" cm="1">
        <f t="array" ref="P45">10^3*(_xlfn.XLOOKUP(P$8,'Master Data'!$C$2:$W$2,_xlfn.XLOOKUP($A45,'Master Data'!$B$3:$B$122,'Master Data'!$C$3:$W$122))-$B45)</f>
        <v>8000</v>
      </c>
      <c r="Q45" s="176" cm="1">
        <f t="array" ref="Q45">10^3*(_xlfn.XLOOKUP(Q$8,'Master Data'!$C$2:$W$2,_xlfn.XLOOKUP($A45,'Master Data'!$B$3:$B$122,'Master Data'!$C$3:$W$122))-$B45)</f>
        <v>8000</v>
      </c>
      <c r="R45" s="176" cm="1">
        <f t="array" ref="R45">10^3*(_xlfn.XLOOKUP(R$8,'Master Data'!$C$2:$W$2,_xlfn.XLOOKUP($A45,'Master Data'!$B$3:$B$122,'Master Data'!$C$3:$W$122))-$B45)</f>
        <v>13000</v>
      </c>
      <c r="S45" s="176" cm="1">
        <f t="array" ref="S45">10^3*(_xlfn.XLOOKUP(S$8,'Master Data'!$C$2:$W$2,_xlfn.XLOOKUP($A45,'Master Data'!$B$3:$B$122,'Master Data'!$C$3:$W$122))-$B45)</f>
        <v>8000</v>
      </c>
      <c r="T45" s="176" cm="1">
        <f t="array" ref="T45">10^3*(_xlfn.XLOOKUP(T$8,'Master Data'!$C$2:$W$2,_xlfn.XLOOKUP($A45,'Master Data'!$B$3:$B$122,'Master Data'!$C$3:$W$122))-$B45)</f>
        <v>8000</v>
      </c>
      <c r="U45" s="176" cm="1">
        <f t="array" ref="U45">10^3*(_xlfn.XLOOKUP(U$8,'Master Data'!$C$2:$W$2,_xlfn.XLOOKUP($A45,'Master Data'!$B$3:$B$122,'Master Data'!$C$3:$W$122))-$B45)</f>
        <v>8000</v>
      </c>
      <c r="V45" s="176" cm="1">
        <f t="array" ref="V45">10^3*(_xlfn.XLOOKUP(V$8,'Master Data'!$C$2:$W$2,_xlfn.XLOOKUP($A45,'Master Data'!$B$3:$B$122,'Master Data'!$C$3:$W$122))-$B45)</f>
        <v>8000</v>
      </c>
      <c r="W45" s="176" cm="1">
        <f t="array" ref="W45">10^3*(_xlfn.XLOOKUP(W$8,'Master Data'!$C$2:$W$2,_xlfn.XLOOKUP($A45,'Master Data'!$B$3:$B$122,'Master Data'!$C$3:$W$122))-$B45)</f>
        <v>8000</v>
      </c>
      <c r="X45" s="176" cm="1">
        <f t="array" ref="X45">10^3*(_xlfn.XLOOKUP(X$8,'Master Data'!$C$2:$W$2,_xlfn.XLOOKUP($A45,'Master Data'!$B$3:$B$122,'Master Data'!$C$3:$W$122))-$B45)</f>
        <v>8000</v>
      </c>
      <c r="Y45" s="177" cm="1">
        <f t="array" ref="Y45">10^3*(_xlfn.XLOOKUP(Y$8,'Master Data'!$C$2:$W$2,_xlfn.XLOOKUP($A45,'Master Data'!$B$3:$B$122,'Master Data'!$C$3:$W$122))-$B45)</f>
        <v>8000</v>
      </c>
      <c r="Z45" s="177" t="e" cm="1">
        <f t="array" ref="Z45">10^3*(_xlfn.XLOOKUP(Z$8,'Master Data'!$C$2:$W$2,_xlfn.XLOOKUP($A45,'Master Data'!$B$3:$B$122,'Master Data'!$C$3:$W$122))-$B45)</f>
        <v>#N/A</v>
      </c>
      <c r="AA45" s="177" t="e" cm="1">
        <f t="array" ref="AA45">10^3*(_xlfn.XLOOKUP(AA$8,'Master Data'!$C$2:$W$2,_xlfn.XLOOKUP($A45,'Master Data'!$B$3:$B$122,'Master Data'!$C$3:$W$122))-$B45)</f>
        <v>#N/A</v>
      </c>
    </row>
    <row r="46" spans="1:27" s="172" customFormat="1" x14ac:dyDescent="0.25">
      <c r="A46" s="173" t="s">
        <v>98</v>
      </c>
      <c r="B46" s="174">
        <v>58</v>
      </c>
      <c r="C46" s="172" t="b">
        <f>ISNUMBER(_xlfn.XMATCH(A46,'Master Data'!$B$3:$B$122))</f>
        <v>1</v>
      </c>
      <c r="E46" s="175" cm="1">
        <f t="array" ref="E46">10^3*(_xlfn.XLOOKUP(E$8,'Master Data'!$C$2:$W$2,_xlfn.XLOOKUP($A46,'Master Data'!$B$3:$B$122,'Master Data'!$C$3:$W$122))-$B46)</f>
        <v>12000</v>
      </c>
      <c r="F46" s="176" cm="1">
        <f t="array" ref="F46">10^3*(_xlfn.XLOOKUP(F$8,'Master Data'!$C$2:$W$2,_xlfn.XLOOKUP($A46,'Master Data'!$B$3:$B$122,'Master Data'!$C$3:$W$122))-$B46)</f>
        <v>12000</v>
      </c>
      <c r="G46" s="176" cm="1">
        <f t="array" ref="G46">10^3*(_xlfn.XLOOKUP(G$8,'Master Data'!$C$2:$W$2,_xlfn.XLOOKUP($A46,'Master Data'!$B$3:$B$122,'Master Data'!$C$3:$W$122))-$B46)</f>
        <v>12000</v>
      </c>
      <c r="H46" s="176" cm="1">
        <f t="array" ref="H46">10^3*(_xlfn.XLOOKUP(H$8,'Master Data'!$C$2:$W$2,_xlfn.XLOOKUP($A46,'Master Data'!$B$3:$B$122,'Master Data'!$C$3:$W$122))-$B46)</f>
        <v>12000</v>
      </c>
      <c r="I46" s="176" cm="1">
        <f t="array" ref="I46">10^3*(_xlfn.XLOOKUP(I$8,'Master Data'!$C$2:$W$2,_xlfn.XLOOKUP($A46,'Master Data'!$B$3:$B$122,'Master Data'!$C$3:$W$122))-$B46)</f>
        <v>12000</v>
      </c>
      <c r="J46" s="176" cm="1">
        <f t="array" ref="J46">10^3*(_xlfn.XLOOKUP(J$8,'Master Data'!$C$2:$W$2,_xlfn.XLOOKUP($A46,'Master Data'!$B$3:$B$122,'Master Data'!$C$3:$W$122))-$B46)</f>
        <v>12000</v>
      </c>
      <c r="K46" s="176" cm="1">
        <f t="array" ref="K46">10^3*(_xlfn.XLOOKUP(K$8,'Master Data'!$C$2:$W$2,_xlfn.XLOOKUP($A46,'Master Data'!$B$3:$B$122,'Master Data'!$C$3:$W$122))-$B46)</f>
        <v>12000</v>
      </c>
      <c r="L46" s="176" cm="1">
        <f t="array" ref="L46">10^3*(_xlfn.XLOOKUP(L$8,'Master Data'!$C$2:$W$2,_xlfn.XLOOKUP($A46,'Master Data'!$B$3:$B$122,'Master Data'!$C$3:$W$122))-$B46)</f>
        <v>12000</v>
      </c>
      <c r="M46" s="176" cm="1">
        <f t="array" ref="M46">10^3*(_xlfn.XLOOKUP(M$8,'Master Data'!$C$2:$W$2,_xlfn.XLOOKUP($A46,'Master Data'!$B$3:$B$122,'Master Data'!$C$3:$W$122))-$B46)</f>
        <v>12000</v>
      </c>
      <c r="N46" s="176" cm="1">
        <f t="array" ref="N46">10^3*(_xlfn.XLOOKUP(N$8,'Master Data'!$C$2:$W$2,_xlfn.XLOOKUP($A46,'Master Data'!$B$3:$B$122,'Master Data'!$C$3:$W$122))-$B46)</f>
        <v>12000</v>
      </c>
      <c r="O46" s="176" cm="1">
        <f t="array" ref="O46">10^3*(_xlfn.XLOOKUP(O$8,'Master Data'!$C$2:$W$2,_xlfn.XLOOKUP($A46,'Master Data'!$B$3:$B$122,'Master Data'!$C$3:$W$122))-$B46)</f>
        <v>12000</v>
      </c>
      <c r="P46" s="176" cm="1">
        <f t="array" ref="P46">10^3*(_xlfn.XLOOKUP(P$8,'Master Data'!$C$2:$W$2,_xlfn.XLOOKUP($A46,'Master Data'!$B$3:$B$122,'Master Data'!$C$3:$W$122))-$B46)</f>
        <v>12000</v>
      </c>
      <c r="Q46" s="176" cm="1">
        <f t="array" ref="Q46">10^3*(_xlfn.XLOOKUP(Q$8,'Master Data'!$C$2:$W$2,_xlfn.XLOOKUP($A46,'Master Data'!$B$3:$B$122,'Master Data'!$C$3:$W$122))-$B46)</f>
        <v>12000</v>
      </c>
      <c r="R46" s="176" cm="1">
        <f t="array" ref="R46">10^3*(_xlfn.XLOOKUP(R$8,'Master Data'!$C$2:$W$2,_xlfn.XLOOKUP($A46,'Master Data'!$B$3:$B$122,'Master Data'!$C$3:$W$122))-$B46)</f>
        <v>12000</v>
      </c>
      <c r="S46" s="176" cm="1">
        <f t="array" ref="S46">10^3*(_xlfn.XLOOKUP(S$8,'Master Data'!$C$2:$W$2,_xlfn.XLOOKUP($A46,'Master Data'!$B$3:$B$122,'Master Data'!$C$3:$W$122))-$B46)</f>
        <v>12000</v>
      </c>
      <c r="T46" s="176" cm="1">
        <f t="array" ref="T46">10^3*(_xlfn.XLOOKUP(T$8,'Master Data'!$C$2:$W$2,_xlfn.XLOOKUP($A46,'Master Data'!$B$3:$B$122,'Master Data'!$C$3:$W$122))-$B46)</f>
        <v>12000</v>
      </c>
      <c r="U46" s="176" cm="1">
        <f t="array" ref="U46">10^3*(_xlfn.XLOOKUP(U$8,'Master Data'!$C$2:$W$2,_xlfn.XLOOKUP($A46,'Master Data'!$B$3:$B$122,'Master Data'!$C$3:$W$122))-$B46)</f>
        <v>12000</v>
      </c>
      <c r="V46" s="176" cm="1">
        <f t="array" ref="V46">10^3*(_xlfn.XLOOKUP(V$8,'Master Data'!$C$2:$W$2,_xlfn.XLOOKUP($A46,'Master Data'!$B$3:$B$122,'Master Data'!$C$3:$W$122))-$B46)</f>
        <v>12000</v>
      </c>
      <c r="W46" s="176" cm="1">
        <f t="array" ref="W46">10^3*(_xlfn.XLOOKUP(W$8,'Master Data'!$C$2:$W$2,_xlfn.XLOOKUP($A46,'Master Data'!$B$3:$B$122,'Master Data'!$C$3:$W$122))-$B46)</f>
        <v>12000</v>
      </c>
      <c r="X46" s="176" cm="1">
        <f t="array" ref="X46">10^3*(_xlfn.XLOOKUP(X$8,'Master Data'!$C$2:$W$2,_xlfn.XLOOKUP($A46,'Master Data'!$B$3:$B$122,'Master Data'!$C$3:$W$122))-$B46)</f>
        <v>12000</v>
      </c>
      <c r="Y46" s="177" cm="1">
        <f t="array" ref="Y46">10^3*(_xlfn.XLOOKUP(Y$8,'Master Data'!$C$2:$W$2,_xlfn.XLOOKUP($A46,'Master Data'!$B$3:$B$122,'Master Data'!$C$3:$W$122))-$B46)</f>
        <v>12000</v>
      </c>
      <c r="Z46" s="177" t="e" cm="1">
        <f t="array" ref="Z46">10^3*(_xlfn.XLOOKUP(Z$8,'Master Data'!$C$2:$W$2,_xlfn.XLOOKUP($A46,'Master Data'!$B$3:$B$122,'Master Data'!$C$3:$W$122))-$B46)</f>
        <v>#N/A</v>
      </c>
      <c r="AA46" s="177" t="e" cm="1">
        <f t="array" ref="AA46">10^3*(_xlfn.XLOOKUP(AA$8,'Master Data'!$C$2:$W$2,_xlfn.XLOOKUP($A46,'Master Data'!$B$3:$B$122,'Master Data'!$C$3:$W$122))-$B46)</f>
        <v>#N/A</v>
      </c>
    </row>
    <row r="47" spans="1:27" s="172" customFormat="1" x14ac:dyDescent="0.25">
      <c r="A47" s="173" t="s">
        <v>99</v>
      </c>
      <c r="B47" s="174">
        <v>60</v>
      </c>
      <c r="C47" s="172" t="b">
        <f>ISNUMBER(_xlfn.XMATCH(A47,'Master Data'!$B$3:$B$122))</f>
        <v>1</v>
      </c>
      <c r="E47" s="175" cm="1">
        <f t="array" ref="E47">10^3*(_xlfn.XLOOKUP(E$8,'Master Data'!$C$2:$W$2,_xlfn.XLOOKUP($A47,'Master Data'!$B$3:$B$122,'Master Data'!$C$3:$W$122))-$B47)</f>
        <v>10000</v>
      </c>
      <c r="F47" s="176" cm="1">
        <f t="array" ref="F47">10^3*(_xlfn.XLOOKUP(F$8,'Master Data'!$C$2:$W$2,_xlfn.XLOOKUP($A47,'Master Data'!$B$3:$B$122,'Master Data'!$C$3:$W$122))-$B47)</f>
        <v>10000</v>
      </c>
      <c r="G47" s="176" cm="1">
        <f t="array" ref="G47">10^3*(_xlfn.XLOOKUP(G$8,'Master Data'!$C$2:$W$2,_xlfn.XLOOKUP($A47,'Master Data'!$B$3:$B$122,'Master Data'!$C$3:$W$122))-$B47)</f>
        <v>10000</v>
      </c>
      <c r="H47" s="176" cm="1">
        <f t="array" ref="H47">10^3*(_xlfn.XLOOKUP(H$8,'Master Data'!$C$2:$W$2,_xlfn.XLOOKUP($A47,'Master Data'!$B$3:$B$122,'Master Data'!$C$3:$W$122))-$B47)</f>
        <v>10000</v>
      </c>
      <c r="I47" s="176" cm="1">
        <f t="array" ref="I47">10^3*(_xlfn.XLOOKUP(I$8,'Master Data'!$C$2:$W$2,_xlfn.XLOOKUP($A47,'Master Data'!$B$3:$B$122,'Master Data'!$C$3:$W$122))-$B47)</f>
        <v>10000</v>
      </c>
      <c r="J47" s="176" cm="1">
        <f t="array" ref="J47">10^3*(_xlfn.XLOOKUP(J$8,'Master Data'!$C$2:$W$2,_xlfn.XLOOKUP($A47,'Master Data'!$B$3:$B$122,'Master Data'!$C$3:$W$122))-$B47)</f>
        <v>10000</v>
      </c>
      <c r="K47" s="176" cm="1">
        <f t="array" ref="K47">10^3*(_xlfn.XLOOKUP(K$8,'Master Data'!$C$2:$W$2,_xlfn.XLOOKUP($A47,'Master Data'!$B$3:$B$122,'Master Data'!$C$3:$W$122))-$B47)</f>
        <v>10000</v>
      </c>
      <c r="L47" s="176" cm="1">
        <f t="array" ref="L47">10^3*(_xlfn.XLOOKUP(L$8,'Master Data'!$C$2:$W$2,_xlfn.XLOOKUP($A47,'Master Data'!$B$3:$B$122,'Master Data'!$C$3:$W$122))-$B47)</f>
        <v>10000</v>
      </c>
      <c r="M47" s="176" cm="1">
        <f t="array" ref="M47">10^3*(_xlfn.XLOOKUP(M$8,'Master Data'!$C$2:$W$2,_xlfn.XLOOKUP($A47,'Master Data'!$B$3:$B$122,'Master Data'!$C$3:$W$122))-$B47)</f>
        <v>10000</v>
      </c>
      <c r="N47" s="176" cm="1">
        <f t="array" ref="N47">10^3*(_xlfn.XLOOKUP(N$8,'Master Data'!$C$2:$W$2,_xlfn.XLOOKUP($A47,'Master Data'!$B$3:$B$122,'Master Data'!$C$3:$W$122))-$B47)</f>
        <v>10000</v>
      </c>
      <c r="O47" s="176" cm="1">
        <f t="array" ref="O47">10^3*(_xlfn.XLOOKUP(O$8,'Master Data'!$C$2:$W$2,_xlfn.XLOOKUP($A47,'Master Data'!$B$3:$B$122,'Master Data'!$C$3:$W$122))-$B47)</f>
        <v>10000</v>
      </c>
      <c r="P47" s="176" cm="1">
        <f t="array" ref="P47">10^3*(_xlfn.XLOOKUP(P$8,'Master Data'!$C$2:$W$2,_xlfn.XLOOKUP($A47,'Master Data'!$B$3:$B$122,'Master Data'!$C$3:$W$122))-$B47)</f>
        <v>10000</v>
      </c>
      <c r="Q47" s="176" cm="1">
        <f t="array" ref="Q47">10^3*(_xlfn.XLOOKUP(Q$8,'Master Data'!$C$2:$W$2,_xlfn.XLOOKUP($A47,'Master Data'!$B$3:$B$122,'Master Data'!$C$3:$W$122))-$B47)</f>
        <v>10000</v>
      </c>
      <c r="R47" s="176" cm="1">
        <f t="array" ref="R47">10^3*(_xlfn.XLOOKUP(R$8,'Master Data'!$C$2:$W$2,_xlfn.XLOOKUP($A47,'Master Data'!$B$3:$B$122,'Master Data'!$C$3:$W$122))-$B47)</f>
        <v>10000</v>
      </c>
      <c r="S47" s="176" cm="1">
        <f t="array" ref="S47">10^3*(_xlfn.XLOOKUP(S$8,'Master Data'!$C$2:$W$2,_xlfn.XLOOKUP($A47,'Master Data'!$B$3:$B$122,'Master Data'!$C$3:$W$122))-$B47)</f>
        <v>10000</v>
      </c>
      <c r="T47" s="176" cm="1">
        <f t="array" ref="T47">10^3*(_xlfn.XLOOKUP(T$8,'Master Data'!$C$2:$W$2,_xlfn.XLOOKUP($A47,'Master Data'!$B$3:$B$122,'Master Data'!$C$3:$W$122))-$B47)</f>
        <v>10000</v>
      </c>
      <c r="U47" s="176" cm="1">
        <f t="array" ref="U47">10^3*(_xlfn.XLOOKUP(U$8,'Master Data'!$C$2:$W$2,_xlfn.XLOOKUP($A47,'Master Data'!$B$3:$B$122,'Master Data'!$C$3:$W$122))-$B47)</f>
        <v>10000</v>
      </c>
      <c r="V47" s="176" cm="1">
        <f t="array" ref="V47">10^3*(_xlfn.XLOOKUP(V$8,'Master Data'!$C$2:$W$2,_xlfn.XLOOKUP($A47,'Master Data'!$B$3:$B$122,'Master Data'!$C$3:$W$122))-$B47)</f>
        <v>10000</v>
      </c>
      <c r="W47" s="176" cm="1">
        <f t="array" ref="W47">10^3*(_xlfn.XLOOKUP(W$8,'Master Data'!$C$2:$W$2,_xlfn.XLOOKUP($A47,'Master Data'!$B$3:$B$122,'Master Data'!$C$3:$W$122))-$B47)</f>
        <v>10000</v>
      </c>
      <c r="X47" s="176" cm="1">
        <f t="array" ref="X47">10^3*(_xlfn.XLOOKUP(X$8,'Master Data'!$C$2:$W$2,_xlfn.XLOOKUP($A47,'Master Data'!$B$3:$B$122,'Master Data'!$C$3:$W$122))-$B47)</f>
        <v>10000</v>
      </c>
      <c r="Y47" s="177" cm="1">
        <f t="array" ref="Y47">10^3*(_xlfn.XLOOKUP(Y$8,'Master Data'!$C$2:$W$2,_xlfn.XLOOKUP($A47,'Master Data'!$B$3:$B$122,'Master Data'!$C$3:$W$122))-$B47)</f>
        <v>10000</v>
      </c>
      <c r="Z47" s="177" t="e" cm="1">
        <f t="array" ref="Z47">10^3*(_xlfn.XLOOKUP(Z$8,'Master Data'!$C$2:$W$2,_xlfn.XLOOKUP($A47,'Master Data'!$B$3:$B$122,'Master Data'!$C$3:$W$122))-$B47)</f>
        <v>#N/A</v>
      </c>
      <c r="AA47" s="177" t="e" cm="1">
        <f t="array" ref="AA47">10^3*(_xlfn.XLOOKUP(AA$8,'Master Data'!$C$2:$W$2,_xlfn.XLOOKUP($A47,'Master Data'!$B$3:$B$122,'Master Data'!$C$3:$W$122))-$B47)</f>
        <v>#N/A</v>
      </c>
    </row>
    <row r="48" spans="1:27" s="172" customFormat="1" x14ac:dyDescent="0.25">
      <c r="A48" s="173" t="s">
        <v>100</v>
      </c>
      <c r="B48" s="174">
        <v>65</v>
      </c>
      <c r="C48" s="172" t="b">
        <f>ISNUMBER(_xlfn.XMATCH(A48,'Master Data'!$B$3:$B$122))</f>
        <v>1</v>
      </c>
      <c r="E48" s="175" cm="1">
        <f t="array" ref="E48">10^3*(_xlfn.XLOOKUP(E$8,'Master Data'!$C$2:$W$2,_xlfn.XLOOKUP($A48,'Master Data'!$B$3:$B$122,'Master Data'!$C$3:$W$122))-$B48)</f>
        <v>10000</v>
      </c>
      <c r="F48" s="176" cm="1">
        <f t="array" ref="F48">10^3*(_xlfn.XLOOKUP(F$8,'Master Data'!$C$2:$W$2,_xlfn.XLOOKUP($A48,'Master Data'!$B$3:$B$122,'Master Data'!$C$3:$W$122))-$B48)</f>
        <v>10000</v>
      </c>
      <c r="G48" s="176" cm="1">
        <f t="array" ref="G48">10^3*(_xlfn.XLOOKUP(G$8,'Master Data'!$C$2:$W$2,_xlfn.XLOOKUP($A48,'Master Data'!$B$3:$B$122,'Master Data'!$C$3:$W$122))-$B48)</f>
        <v>10000</v>
      </c>
      <c r="H48" s="176" cm="1">
        <f t="array" ref="H48">10^3*(_xlfn.XLOOKUP(H$8,'Master Data'!$C$2:$W$2,_xlfn.XLOOKUP($A48,'Master Data'!$B$3:$B$122,'Master Data'!$C$3:$W$122))-$B48)</f>
        <v>10000</v>
      </c>
      <c r="I48" s="176" cm="1">
        <f t="array" ref="I48">10^3*(_xlfn.XLOOKUP(I$8,'Master Data'!$C$2:$W$2,_xlfn.XLOOKUP($A48,'Master Data'!$B$3:$B$122,'Master Data'!$C$3:$W$122))-$B48)</f>
        <v>10000</v>
      </c>
      <c r="J48" s="176" cm="1">
        <f t="array" ref="J48">10^3*(_xlfn.XLOOKUP(J$8,'Master Data'!$C$2:$W$2,_xlfn.XLOOKUP($A48,'Master Data'!$B$3:$B$122,'Master Data'!$C$3:$W$122))-$B48)</f>
        <v>10000</v>
      </c>
      <c r="K48" s="176" cm="1">
        <f t="array" ref="K48">10^3*(_xlfn.XLOOKUP(K$8,'Master Data'!$C$2:$W$2,_xlfn.XLOOKUP($A48,'Master Data'!$B$3:$B$122,'Master Data'!$C$3:$W$122))-$B48)</f>
        <v>10000</v>
      </c>
      <c r="L48" s="176" cm="1">
        <f t="array" ref="L48">10^3*(_xlfn.XLOOKUP(L$8,'Master Data'!$C$2:$W$2,_xlfn.XLOOKUP($A48,'Master Data'!$B$3:$B$122,'Master Data'!$C$3:$W$122))-$B48)</f>
        <v>10000</v>
      </c>
      <c r="M48" s="176" cm="1">
        <f t="array" ref="M48">10^3*(_xlfn.XLOOKUP(M$8,'Master Data'!$C$2:$W$2,_xlfn.XLOOKUP($A48,'Master Data'!$B$3:$B$122,'Master Data'!$C$3:$W$122))-$B48)</f>
        <v>10000</v>
      </c>
      <c r="N48" s="176" cm="1">
        <f t="array" ref="N48">10^3*(_xlfn.XLOOKUP(N$8,'Master Data'!$C$2:$W$2,_xlfn.XLOOKUP($A48,'Master Data'!$B$3:$B$122,'Master Data'!$C$3:$W$122))-$B48)</f>
        <v>10000</v>
      </c>
      <c r="O48" s="176" cm="1">
        <f t="array" ref="O48">10^3*(_xlfn.XLOOKUP(O$8,'Master Data'!$C$2:$W$2,_xlfn.XLOOKUP($A48,'Master Data'!$B$3:$B$122,'Master Data'!$C$3:$W$122))-$B48)</f>
        <v>10000</v>
      </c>
      <c r="P48" s="176" cm="1">
        <f t="array" ref="P48">10^3*(_xlfn.XLOOKUP(P$8,'Master Data'!$C$2:$W$2,_xlfn.XLOOKUP($A48,'Master Data'!$B$3:$B$122,'Master Data'!$C$3:$W$122))-$B48)</f>
        <v>10000</v>
      </c>
      <c r="Q48" s="176" cm="1">
        <f t="array" ref="Q48">10^3*(_xlfn.XLOOKUP(Q$8,'Master Data'!$C$2:$W$2,_xlfn.XLOOKUP($A48,'Master Data'!$B$3:$B$122,'Master Data'!$C$3:$W$122))-$B48)</f>
        <v>10000</v>
      </c>
      <c r="R48" s="176" cm="1">
        <f t="array" ref="R48">10^3*(_xlfn.XLOOKUP(R$8,'Master Data'!$C$2:$W$2,_xlfn.XLOOKUP($A48,'Master Data'!$B$3:$B$122,'Master Data'!$C$3:$W$122))-$B48)</f>
        <v>10000</v>
      </c>
      <c r="S48" s="176" cm="1">
        <f t="array" ref="S48">10^3*(_xlfn.XLOOKUP(S$8,'Master Data'!$C$2:$W$2,_xlfn.XLOOKUP($A48,'Master Data'!$B$3:$B$122,'Master Data'!$C$3:$W$122))-$B48)</f>
        <v>10000</v>
      </c>
      <c r="T48" s="176" cm="1">
        <f t="array" ref="T48">10^3*(_xlfn.XLOOKUP(T$8,'Master Data'!$C$2:$W$2,_xlfn.XLOOKUP($A48,'Master Data'!$B$3:$B$122,'Master Data'!$C$3:$W$122))-$B48)</f>
        <v>10000</v>
      </c>
      <c r="U48" s="176" cm="1">
        <f t="array" ref="U48">10^3*(_xlfn.XLOOKUP(U$8,'Master Data'!$C$2:$W$2,_xlfn.XLOOKUP($A48,'Master Data'!$B$3:$B$122,'Master Data'!$C$3:$W$122))-$B48)</f>
        <v>10000</v>
      </c>
      <c r="V48" s="176" cm="1">
        <f t="array" ref="V48">10^3*(_xlfn.XLOOKUP(V$8,'Master Data'!$C$2:$W$2,_xlfn.XLOOKUP($A48,'Master Data'!$B$3:$B$122,'Master Data'!$C$3:$W$122))-$B48)</f>
        <v>10000</v>
      </c>
      <c r="W48" s="176" cm="1">
        <f t="array" ref="W48">10^3*(_xlfn.XLOOKUP(W$8,'Master Data'!$C$2:$W$2,_xlfn.XLOOKUP($A48,'Master Data'!$B$3:$B$122,'Master Data'!$C$3:$W$122))-$B48)</f>
        <v>10000</v>
      </c>
      <c r="X48" s="176" cm="1">
        <f t="array" ref="X48">10^3*(_xlfn.XLOOKUP(X$8,'Master Data'!$C$2:$W$2,_xlfn.XLOOKUP($A48,'Master Data'!$B$3:$B$122,'Master Data'!$C$3:$W$122))-$B48)</f>
        <v>10000</v>
      </c>
      <c r="Y48" s="177" cm="1">
        <f t="array" ref="Y48">10^3*(_xlfn.XLOOKUP(Y$8,'Master Data'!$C$2:$W$2,_xlfn.XLOOKUP($A48,'Master Data'!$B$3:$B$122,'Master Data'!$C$3:$W$122))-$B48)</f>
        <v>10000</v>
      </c>
      <c r="Z48" s="177" t="e" cm="1">
        <f t="array" ref="Z48">10^3*(_xlfn.XLOOKUP(Z$8,'Master Data'!$C$2:$W$2,_xlfn.XLOOKUP($A48,'Master Data'!$B$3:$B$122,'Master Data'!$C$3:$W$122))-$B48)</f>
        <v>#N/A</v>
      </c>
      <c r="AA48" s="177" t="e" cm="1">
        <f t="array" ref="AA48">10^3*(_xlfn.XLOOKUP(AA$8,'Master Data'!$C$2:$W$2,_xlfn.XLOOKUP($A48,'Master Data'!$B$3:$B$122,'Master Data'!$C$3:$W$122))-$B48)</f>
        <v>#N/A</v>
      </c>
    </row>
    <row r="49" spans="1:27" s="172" customFormat="1" x14ac:dyDescent="0.25">
      <c r="A49" s="173" t="s">
        <v>15</v>
      </c>
      <c r="B49" s="174">
        <v>60</v>
      </c>
      <c r="C49" s="172" t="b">
        <f>ISNUMBER(_xlfn.XMATCH(A49,'Master Data'!$B$3:$B$122))</f>
        <v>1</v>
      </c>
      <c r="E49" s="175" cm="1">
        <f t="array" ref="E49">10^3*(_xlfn.XLOOKUP(E$8,'Master Data'!$C$2:$W$2,_xlfn.XLOOKUP($A49,'Master Data'!$B$3:$B$122,'Master Data'!$C$3:$W$122))-$B49)</f>
        <v>10000</v>
      </c>
      <c r="F49" s="176" cm="1">
        <f t="array" ref="F49">10^3*(_xlfn.XLOOKUP(F$8,'Master Data'!$C$2:$W$2,_xlfn.XLOOKUP($A49,'Master Data'!$B$3:$B$122,'Master Data'!$C$3:$W$122))-$B49)</f>
        <v>10000</v>
      </c>
      <c r="G49" s="176" cm="1">
        <f t="array" ref="G49">10^3*(_xlfn.XLOOKUP(G$8,'Master Data'!$C$2:$W$2,_xlfn.XLOOKUP($A49,'Master Data'!$B$3:$B$122,'Master Data'!$C$3:$W$122))-$B49)</f>
        <v>10000</v>
      </c>
      <c r="H49" s="176" cm="1">
        <f t="array" ref="H49">10^3*(_xlfn.XLOOKUP(H$8,'Master Data'!$C$2:$W$2,_xlfn.XLOOKUP($A49,'Master Data'!$B$3:$B$122,'Master Data'!$C$3:$W$122))-$B49)</f>
        <v>8000</v>
      </c>
      <c r="I49" s="176" cm="1">
        <f t="array" ref="I49">10^3*(_xlfn.XLOOKUP(I$8,'Master Data'!$C$2:$W$2,_xlfn.XLOOKUP($A49,'Master Data'!$B$3:$B$122,'Master Data'!$C$3:$W$122))-$B49)</f>
        <v>8000</v>
      </c>
      <c r="J49" s="176" cm="1">
        <f t="array" ref="J49">10^3*(_xlfn.XLOOKUP(J$8,'Master Data'!$C$2:$W$2,_xlfn.XLOOKUP($A49,'Master Data'!$B$3:$B$122,'Master Data'!$C$3:$W$122))-$B49)</f>
        <v>10000</v>
      </c>
      <c r="K49" s="176" cm="1">
        <f t="array" ref="K49">10^3*(_xlfn.XLOOKUP(K$8,'Master Data'!$C$2:$W$2,_xlfn.XLOOKUP($A49,'Master Data'!$B$3:$B$122,'Master Data'!$C$3:$W$122))-$B49)</f>
        <v>8000</v>
      </c>
      <c r="L49" s="176" cm="1">
        <f t="array" ref="L49">10^3*(_xlfn.XLOOKUP(L$8,'Master Data'!$C$2:$W$2,_xlfn.XLOOKUP($A49,'Master Data'!$B$3:$B$122,'Master Data'!$C$3:$W$122))-$B49)</f>
        <v>8000</v>
      </c>
      <c r="M49" s="176" cm="1">
        <f t="array" ref="M49">10^3*(_xlfn.XLOOKUP(M$8,'Master Data'!$C$2:$W$2,_xlfn.XLOOKUP($A49,'Master Data'!$B$3:$B$122,'Master Data'!$C$3:$W$122))-$B49)</f>
        <v>10000</v>
      </c>
      <c r="N49" s="176" cm="1">
        <f t="array" ref="N49">10^3*(_xlfn.XLOOKUP(N$8,'Master Data'!$C$2:$W$2,_xlfn.XLOOKUP($A49,'Master Data'!$B$3:$B$122,'Master Data'!$C$3:$W$122))-$B49)</f>
        <v>10000</v>
      </c>
      <c r="O49" s="176" cm="1">
        <f t="array" ref="O49">10^3*(_xlfn.XLOOKUP(O$8,'Master Data'!$C$2:$W$2,_xlfn.XLOOKUP($A49,'Master Data'!$B$3:$B$122,'Master Data'!$C$3:$W$122))-$B49)</f>
        <v>10000</v>
      </c>
      <c r="P49" s="176" cm="1">
        <f t="array" ref="P49">10^3*(_xlfn.XLOOKUP(P$8,'Master Data'!$C$2:$W$2,_xlfn.XLOOKUP($A49,'Master Data'!$B$3:$B$122,'Master Data'!$C$3:$W$122))-$B49)</f>
        <v>10000</v>
      </c>
      <c r="Q49" s="176" cm="1">
        <f t="array" ref="Q49">10^3*(_xlfn.XLOOKUP(Q$8,'Master Data'!$C$2:$W$2,_xlfn.XLOOKUP($A49,'Master Data'!$B$3:$B$122,'Master Data'!$C$3:$W$122))-$B49)</f>
        <v>10000</v>
      </c>
      <c r="R49" s="176" cm="1">
        <f t="array" ref="R49">10^3*(_xlfn.XLOOKUP(R$8,'Master Data'!$C$2:$W$2,_xlfn.XLOOKUP($A49,'Master Data'!$B$3:$B$122,'Master Data'!$C$3:$W$122))-$B49)</f>
        <v>10000</v>
      </c>
      <c r="S49" s="176" cm="1">
        <f t="array" ref="S49">10^3*(_xlfn.XLOOKUP(S$8,'Master Data'!$C$2:$W$2,_xlfn.XLOOKUP($A49,'Master Data'!$B$3:$B$122,'Master Data'!$C$3:$W$122))-$B49)</f>
        <v>10000</v>
      </c>
      <c r="T49" s="176" cm="1">
        <f t="array" ref="T49">10^3*(_xlfn.XLOOKUP(T$8,'Master Data'!$C$2:$W$2,_xlfn.XLOOKUP($A49,'Master Data'!$B$3:$B$122,'Master Data'!$C$3:$W$122))-$B49)</f>
        <v>10000</v>
      </c>
      <c r="U49" s="176" cm="1">
        <f t="array" ref="U49">10^3*(_xlfn.XLOOKUP(U$8,'Master Data'!$C$2:$W$2,_xlfn.XLOOKUP($A49,'Master Data'!$B$3:$B$122,'Master Data'!$C$3:$W$122))-$B49)</f>
        <v>10000</v>
      </c>
      <c r="V49" s="176" cm="1">
        <f t="array" ref="V49">10^3*(_xlfn.XLOOKUP(V$8,'Master Data'!$C$2:$W$2,_xlfn.XLOOKUP($A49,'Master Data'!$B$3:$B$122,'Master Data'!$C$3:$W$122))-$B49)</f>
        <v>10000</v>
      </c>
      <c r="W49" s="176" cm="1">
        <f t="array" ref="W49">10^3*(_xlfn.XLOOKUP(W$8,'Master Data'!$C$2:$W$2,_xlfn.XLOOKUP($A49,'Master Data'!$B$3:$B$122,'Master Data'!$C$3:$W$122))-$B49)</f>
        <v>10000</v>
      </c>
      <c r="X49" s="176" cm="1">
        <f t="array" ref="X49">10^3*(_xlfn.XLOOKUP(X$8,'Master Data'!$C$2:$W$2,_xlfn.XLOOKUP($A49,'Master Data'!$B$3:$B$122,'Master Data'!$C$3:$W$122))-$B49)</f>
        <v>10000</v>
      </c>
      <c r="Y49" s="177" cm="1">
        <f t="array" ref="Y49">10^3*(_xlfn.XLOOKUP(Y$8,'Master Data'!$C$2:$W$2,_xlfn.XLOOKUP($A49,'Master Data'!$B$3:$B$122,'Master Data'!$C$3:$W$122))-$B49)</f>
        <v>10000</v>
      </c>
      <c r="Z49" s="177" t="e" cm="1">
        <f t="array" ref="Z49">10^3*(_xlfn.XLOOKUP(Z$8,'Master Data'!$C$2:$W$2,_xlfn.XLOOKUP($A49,'Master Data'!$B$3:$B$122,'Master Data'!$C$3:$W$122))-$B49)</f>
        <v>#N/A</v>
      </c>
      <c r="AA49" s="177" t="e" cm="1">
        <f t="array" ref="AA49">10^3*(_xlfn.XLOOKUP(AA$8,'Master Data'!$C$2:$W$2,_xlfn.XLOOKUP($A49,'Master Data'!$B$3:$B$122,'Master Data'!$C$3:$W$122))-$B49)</f>
        <v>#N/A</v>
      </c>
    </row>
    <row r="50" spans="1:27" s="172" customFormat="1" x14ac:dyDescent="0.25">
      <c r="A50" s="173" t="s">
        <v>101</v>
      </c>
      <c r="B50" s="174">
        <v>60</v>
      </c>
      <c r="C50" s="172" t="b">
        <f>ISNUMBER(_xlfn.XMATCH(A50,'Master Data'!$B$3:$B$122))</f>
        <v>1</v>
      </c>
      <c r="E50" s="175" cm="1">
        <f t="array" ref="E50">10^3*(_xlfn.XLOOKUP(E$8,'Master Data'!$C$2:$W$2,_xlfn.XLOOKUP($A50,'Master Data'!$B$3:$B$122,'Master Data'!$C$3:$W$122))-$B50)</f>
        <v>10000</v>
      </c>
      <c r="F50" s="176" cm="1">
        <f t="array" ref="F50">10^3*(_xlfn.XLOOKUP(F$8,'Master Data'!$C$2:$W$2,_xlfn.XLOOKUP($A50,'Master Data'!$B$3:$B$122,'Master Data'!$C$3:$W$122))-$B50)</f>
        <v>10000</v>
      </c>
      <c r="G50" s="176" cm="1">
        <f t="array" ref="G50">10^3*(_xlfn.XLOOKUP(G$8,'Master Data'!$C$2:$W$2,_xlfn.XLOOKUP($A50,'Master Data'!$B$3:$B$122,'Master Data'!$C$3:$W$122))-$B50)</f>
        <v>5000</v>
      </c>
      <c r="H50" s="176" cm="1">
        <f t="array" ref="H50">10^3*(_xlfn.XLOOKUP(H$8,'Master Data'!$C$2:$W$2,_xlfn.XLOOKUP($A50,'Master Data'!$B$3:$B$122,'Master Data'!$C$3:$W$122))-$B50)</f>
        <v>5000</v>
      </c>
      <c r="I50" s="176" cm="1">
        <f t="array" ref="I50">10^3*(_xlfn.XLOOKUP(I$8,'Master Data'!$C$2:$W$2,_xlfn.XLOOKUP($A50,'Master Data'!$B$3:$B$122,'Master Data'!$C$3:$W$122))-$B50)</f>
        <v>5000</v>
      </c>
      <c r="J50" s="176" cm="1">
        <f t="array" ref="J50">10^3*(_xlfn.XLOOKUP(J$8,'Master Data'!$C$2:$W$2,_xlfn.XLOOKUP($A50,'Master Data'!$B$3:$B$122,'Master Data'!$C$3:$W$122))-$B50)</f>
        <v>5000</v>
      </c>
      <c r="K50" s="176" cm="1">
        <f t="array" ref="K50">10^3*(_xlfn.XLOOKUP(K$8,'Master Data'!$C$2:$W$2,_xlfn.XLOOKUP($A50,'Master Data'!$B$3:$B$122,'Master Data'!$C$3:$W$122))-$B50)</f>
        <v>5000</v>
      </c>
      <c r="L50" s="176" cm="1">
        <f t="array" ref="L50">10^3*(_xlfn.XLOOKUP(L$8,'Master Data'!$C$2:$W$2,_xlfn.XLOOKUP($A50,'Master Data'!$B$3:$B$122,'Master Data'!$C$3:$W$122))-$B50)</f>
        <v>5000</v>
      </c>
      <c r="M50" s="176" cm="1">
        <f t="array" ref="M50">10^3*(_xlfn.XLOOKUP(M$8,'Master Data'!$C$2:$W$2,_xlfn.XLOOKUP($A50,'Master Data'!$B$3:$B$122,'Master Data'!$C$3:$W$122))-$B50)</f>
        <v>5000</v>
      </c>
      <c r="N50" s="176" cm="1">
        <f t="array" ref="N50">10^3*(_xlfn.XLOOKUP(N$8,'Master Data'!$C$2:$W$2,_xlfn.XLOOKUP($A50,'Master Data'!$B$3:$B$122,'Master Data'!$C$3:$W$122))-$B50)</f>
        <v>5000</v>
      </c>
      <c r="O50" s="176" cm="1">
        <f t="array" ref="O50">10^3*(_xlfn.XLOOKUP(O$8,'Master Data'!$C$2:$W$2,_xlfn.XLOOKUP($A50,'Master Data'!$B$3:$B$122,'Master Data'!$C$3:$W$122))-$B50)</f>
        <v>5000</v>
      </c>
      <c r="P50" s="176" cm="1">
        <f t="array" ref="P50">10^3*(_xlfn.XLOOKUP(P$8,'Master Data'!$C$2:$W$2,_xlfn.XLOOKUP($A50,'Master Data'!$B$3:$B$122,'Master Data'!$C$3:$W$122))-$B50)</f>
        <v>10000</v>
      </c>
      <c r="Q50" s="176" cm="1">
        <f t="array" ref="Q50">10^3*(_xlfn.XLOOKUP(Q$8,'Master Data'!$C$2:$W$2,_xlfn.XLOOKUP($A50,'Master Data'!$B$3:$B$122,'Master Data'!$C$3:$W$122))-$B50)</f>
        <v>10000</v>
      </c>
      <c r="R50" s="176" cm="1">
        <f t="array" ref="R50">10^3*(_xlfn.XLOOKUP(R$8,'Master Data'!$C$2:$W$2,_xlfn.XLOOKUP($A50,'Master Data'!$B$3:$B$122,'Master Data'!$C$3:$W$122))-$B50)</f>
        <v>10000</v>
      </c>
      <c r="S50" s="176" cm="1">
        <f t="array" ref="S50">10^3*(_xlfn.XLOOKUP(S$8,'Master Data'!$C$2:$W$2,_xlfn.XLOOKUP($A50,'Master Data'!$B$3:$B$122,'Master Data'!$C$3:$W$122))-$B50)</f>
        <v>5000</v>
      </c>
      <c r="T50" s="176" cm="1">
        <f t="array" ref="T50">10^3*(_xlfn.XLOOKUP(T$8,'Master Data'!$C$2:$W$2,_xlfn.XLOOKUP($A50,'Master Data'!$B$3:$B$122,'Master Data'!$C$3:$W$122))-$B50)</f>
        <v>10000</v>
      </c>
      <c r="U50" s="176" cm="1">
        <f t="array" ref="U50">10^3*(_xlfn.XLOOKUP(U$8,'Master Data'!$C$2:$W$2,_xlfn.XLOOKUP($A50,'Master Data'!$B$3:$B$122,'Master Data'!$C$3:$W$122))-$B50)</f>
        <v>10000</v>
      </c>
      <c r="V50" s="176" cm="1">
        <f t="array" ref="V50">10^3*(_xlfn.XLOOKUP(V$8,'Master Data'!$C$2:$W$2,_xlfn.XLOOKUP($A50,'Master Data'!$B$3:$B$122,'Master Data'!$C$3:$W$122))-$B50)</f>
        <v>10000</v>
      </c>
      <c r="W50" s="176" cm="1">
        <f t="array" ref="W50">10^3*(_xlfn.XLOOKUP(W$8,'Master Data'!$C$2:$W$2,_xlfn.XLOOKUP($A50,'Master Data'!$B$3:$B$122,'Master Data'!$C$3:$W$122))-$B50)</f>
        <v>5000</v>
      </c>
      <c r="X50" s="176" cm="1">
        <f t="array" ref="X50">10^3*(_xlfn.XLOOKUP(X$8,'Master Data'!$C$2:$W$2,_xlfn.XLOOKUP($A50,'Master Data'!$B$3:$B$122,'Master Data'!$C$3:$W$122))-$B50)</f>
        <v>5000</v>
      </c>
      <c r="Y50" s="177" cm="1">
        <f t="array" ref="Y50">10^3*(_xlfn.XLOOKUP(Y$8,'Master Data'!$C$2:$W$2,_xlfn.XLOOKUP($A50,'Master Data'!$B$3:$B$122,'Master Data'!$C$3:$W$122))-$B50)</f>
        <v>5000</v>
      </c>
      <c r="Z50" s="177" t="e" cm="1">
        <f t="array" ref="Z50">10^3*(_xlfn.XLOOKUP(Z$8,'Master Data'!$C$2:$W$2,_xlfn.XLOOKUP($A50,'Master Data'!$B$3:$B$122,'Master Data'!$C$3:$W$122))-$B50)</f>
        <v>#N/A</v>
      </c>
      <c r="AA50" s="177" t="e" cm="1">
        <f t="array" ref="AA50">10^3*(_xlfn.XLOOKUP(AA$8,'Master Data'!$C$2:$W$2,_xlfn.XLOOKUP($A50,'Master Data'!$B$3:$B$122,'Master Data'!$C$3:$W$122))-$B50)</f>
        <v>#N/A</v>
      </c>
    </row>
    <row r="51" spans="1:27" s="172" customFormat="1" x14ac:dyDescent="0.25">
      <c r="A51" s="173" t="s">
        <v>102</v>
      </c>
      <c r="B51" s="174">
        <v>65</v>
      </c>
      <c r="C51" s="172" t="b">
        <f>ISNUMBER(_xlfn.XMATCH(A51,'Master Data'!$B$3:$B$122))</f>
        <v>1</v>
      </c>
      <c r="E51" s="175" cm="1">
        <f t="array" ref="E51">10^3*(_xlfn.XLOOKUP(E$8,'Master Data'!$C$2:$W$2,_xlfn.XLOOKUP($A51,'Master Data'!$B$3:$B$122,'Master Data'!$C$3:$W$122))-$B51)</f>
        <v>10000</v>
      </c>
      <c r="F51" s="176" cm="1">
        <f t="array" ref="F51">10^3*(_xlfn.XLOOKUP(F$8,'Master Data'!$C$2:$W$2,_xlfn.XLOOKUP($A51,'Master Data'!$B$3:$B$122,'Master Data'!$C$3:$W$122))-$B51)</f>
        <v>10000</v>
      </c>
      <c r="G51" s="176" cm="1">
        <f t="array" ref="G51">10^3*(_xlfn.XLOOKUP(G$8,'Master Data'!$C$2:$W$2,_xlfn.XLOOKUP($A51,'Master Data'!$B$3:$B$122,'Master Data'!$C$3:$W$122))-$B51)</f>
        <v>7000</v>
      </c>
      <c r="H51" s="176" cm="1">
        <f t="array" ref="H51">10^3*(_xlfn.XLOOKUP(H$8,'Master Data'!$C$2:$W$2,_xlfn.XLOOKUP($A51,'Master Data'!$B$3:$B$122,'Master Data'!$C$3:$W$122))-$B51)</f>
        <v>7000</v>
      </c>
      <c r="I51" s="176" cm="1">
        <f t="array" ref="I51">10^3*(_xlfn.XLOOKUP(I$8,'Master Data'!$C$2:$W$2,_xlfn.XLOOKUP($A51,'Master Data'!$B$3:$B$122,'Master Data'!$C$3:$W$122))-$B51)</f>
        <v>7000</v>
      </c>
      <c r="J51" s="176" cm="1">
        <f t="array" ref="J51">10^3*(_xlfn.XLOOKUP(J$8,'Master Data'!$C$2:$W$2,_xlfn.XLOOKUP($A51,'Master Data'!$B$3:$B$122,'Master Data'!$C$3:$W$122))-$B51)</f>
        <v>7000</v>
      </c>
      <c r="K51" s="176" cm="1">
        <f t="array" ref="K51">10^3*(_xlfn.XLOOKUP(K$8,'Master Data'!$C$2:$W$2,_xlfn.XLOOKUP($A51,'Master Data'!$B$3:$B$122,'Master Data'!$C$3:$W$122))-$B51)</f>
        <v>7000</v>
      </c>
      <c r="L51" s="176" cm="1">
        <f t="array" ref="L51">10^3*(_xlfn.XLOOKUP(L$8,'Master Data'!$C$2:$W$2,_xlfn.XLOOKUP($A51,'Master Data'!$B$3:$B$122,'Master Data'!$C$3:$W$122))-$B51)</f>
        <v>7000</v>
      </c>
      <c r="M51" s="176" cm="1">
        <f t="array" ref="M51">10^3*(_xlfn.XLOOKUP(M$8,'Master Data'!$C$2:$W$2,_xlfn.XLOOKUP($A51,'Master Data'!$B$3:$B$122,'Master Data'!$C$3:$W$122))-$B51)</f>
        <v>7000</v>
      </c>
      <c r="N51" s="176" cm="1">
        <f t="array" ref="N51">10^3*(_xlfn.XLOOKUP(N$8,'Master Data'!$C$2:$W$2,_xlfn.XLOOKUP($A51,'Master Data'!$B$3:$B$122,'Master Data'!$C$3:$W$122))-$B51)</f>
        <v>7000</v>
      </c>
      <c r="O51" s="176" cm="1">
        <f t="array" ref="O51">10^3*(_xlfn.XLOOKUP(O$8,'Master Data'!$C$2:$W$2,_xlfn.XLOOKUP($A51,'Master Data'!$B$3:$B$122,'Master Data'!$C$3:$W$122))-$B51)</f>
        <v>7000</v>
      </c>
      <c r="P51" s="176" cm="1">
        <f t="array" ref="P51">10^3*(_xlfn.XLOOKUP(P$8,'Master Data'!$C$2:$W$2,_xlfn.XLOOKUP($A51,'Master Data'!$B$3:$B$122,'Master Data'!$C$3:$W$122))-$B51)</f>
        <v>10000</v>
      </c>
      <c r="Q51" s="176" cm="1">
        <f t="array" ref="Q51">10^3*(_xlfn.XLOOKUP(Q$8,'Master Data'!$C$2:$W$2,_xlfn.XLOOKUP($A51,'Master Data'!$B$3:$B$122,'Master Data'!$C$3:$W$122))-$B51)</f>
        <v>10000</v>
      </c>
      <c r="R51" s="176" cm="1">
        <f t="array" ref="R51">10^3*(_xlfn.XLOOKUP(R$8,'Master Data'!$C$2:$W$2,_xlfn.XLOOKUP($A51,'Master Data'!$B$3:$B$122,'Master Data'!$C$3:$W$122))-$B51)</f>
        <v>10000</v>
      </c>
      <c r="S51" s="176" cm="1">
        <f t="array" ref="S51">10^3*(_xlfn.XLOOKUP(S$8,'Master Data'!$C$2:$W$2,_xlfn.XLOOKUP($A51,'Master Data'!$B$3:$B$122,'Master Data'!$C$3:$W$122))-$B51)</f>
        <v>7000</v>
      </c>
      <c r="T51" s="176" cm="1">
        <f t="array" ref="T51">10^3*(_xlfn.XLOOKUP(T$8,'Master Data'!$C$2:$W$2,_xlfn.XLOOKUP($A51,'Master Data'!$B$3:$B$122,'Master Data'!$C$3:$W$122))-$B51)</f>
        <v>10000</v>
      </c>
      <c r="U51" s="176" cm="1">
        <f t="array" ref="U51">10^3*(_xlfn.XLOOKUP(U$8,'Master Data'!$C$2:$W$2,_xlfn.XLOOKUP($A51,'Master Data'!$B$3:$B$122,'Master Data'!$C$3:$W$122))-$B51)</f>
        <v>10000</v>
      </c>
      <c r="V51" s="176" cm="1">
        <f t="array" ref="V51">10^3*(_xlfn.XLOOKUP(V$8,'Master Data'!$C$2:$W$2,_xlfn.XLOOKUP($A51,'Master Data'!$B$3:$B$122,'Master Data'!$C$3:$W$122))-$B51)</f>
        <v>10000</v>
      </c>
      <c r="W51" s="176" cm="1">
        <f t="array" ref="W51">10^3*(_xlfn.XLOOKUP(W$8,'Master Data'!$C$2:$W$2,_xlfn.XLOOKUP($A51,'Master Data'!$B$3:$B$122,'Master Data'!$C$3:$W$122))-$B51)</f>
        <v>7000</v>
      </c>
      <c r="X51" s="176" cm="1">
        <f t="array" ref="X51">10^3*(_xlfn.XLOOKUP(X$8,'Master Data'!$C$2:$W$2,_xlfn.XLOOKUP($A51,'Master Data'!$B$3:$B$122,'Master Data'!$C$3:$W$122))-$B51)</f>
        <v>7000</v>
      </c>
      <c r="Y51" s="177" cm="1">
        <f t="array" ref="Y51">10^3*(_xlfn.XLOOKUP(Y$8,'Master Data'!$C$2:$W$2,_xlfn.XLOOKUP($A51,'Master Data'!$B$3:$B$122,'Master Data'!$C$3:$W$122))-$B51)</f>
        <v>7000</v>
      </c>
      <c r="Z51" s="177" t="e" cm="1">
        <f t="array" ref="Z51">10^3*(_xlfn.XLOOKUP(Z$8,'Master Data'!$C$2:$W$2,_xlfn.XLOOKUP($A51,'Master Data'!$B$3:$B$122,'Master Data'!$C$3:$W$122))-$B51)</f>
        <v>#N/A</v>
      </c>
      <c r="AA51" s="177" t="e" cm="1">
        <f t="array" ref="AA51">10^3*(_xlfn.XLOOKUP(AA$8,'Master Data'!$C$2:$W$2,_xlfn.XLOOKUP($A51,'Master Data'!$B$3:$B$122,'Master Data'!$C$3:$W$122))-$B51)</f>
        <v>#N/A</v>
      </c>
    </row>
    <row r="52" spans="1:27" s="172" customFormat="1" x14ac:dyDescent="0.25">
      <c r="A52" s="173" t="s">
        <v>103</v>
      </c>
      <c r="B52" s="174">
        <v>70</v>
      </c>
      <c r="C52" s="172" t="b">
        <f>ISNUMBER(_xlfn.XMATCH(A52,'Master Data'!$B$3:$B$122))</f>
        <v>1</v>
      </c>
      <c r="E52" s="175" cm="1">
        <f t="array" ref="E52">10^3*(_xlfn.XLOOKUP(E$8,'Master Data'!$C$2:$W$2,_xlfn.XLOOKUP($A52,'Master Data'!$B$3:$B$122,'Master Data'!$C$3:$W$122))-$B52)</f>
        <v>5000</v>
      </c>
      <c r="F52" s="176" cm="1">
        <f t="array" ref="F52">10^3*(_xlfn.XLOOKUP(F$8,'Master Data'!$C$2:$W$2,_xlfn.XLOOKUP($A52,'Master Data'!$B$3:$B$122,'Master Data'!$C$3:$W$122))-$B52)</f>
        <v>5000</v>
      </c>
      <c r="G52" s="176" cm="1">
        <f t="array" ref="G52">10^3*(_xlfn.XLOOKUP(G$8,'Master Data'!$C$2:$W$2,_xlfn.XLOOKUP($A52,'Master Data'!$B$3:$B$122,'Master Data'!$C$3:$W$122))-$B52)</f>
        <v>0</v>
      </c>
      <c r="H52" s="176" cm="1">
        <f t="array" ref="H52">10^3*(_xlfn.XLOOKUP(H$8,'Master Data'!$C$2:$W$2,_xlfn.XLOOKUP($A52,'Master Data'!$B$3:$B$122,'Master Data'!$C$3:$W$122))-$B52)</f>
        <v>0</v>
      </c>
      <c r="I52" s="176" cm="1">
        <f t="array" ref="I52">10^3*(_xlfn.XLOOKUP(I$8,'Master Data'!$C$2:$W$2,_xlfn.XLOOKUP($A52,'Master Data'!$B$3:$B$122,'Master Data'!$C$3:$W$122))-$B52)</f>
        <v>0</v>
      </c>
      <c r="J52" s="176" cm="1">
        <f t="array" ref="J52">10^3*(_xlfn.XLOOKUP(J$8,'Master Data'!$C$2:$W$2,_xlfn.XLOOKUP($A52,'Master Data'!$B$3:$B$122,'Master Data'!$C$3:$W$122))-$B52)</f>
        <v>0</v>
      </c>
      <c r="K52" s="176" cm="1">
        <f t="array" ref="K52">10^3*(_xlfn.XLOOKUP(K$8,'Master Data'!$C$2:$W$2,_xlfn.XLOOKUP($A52,'Master Data'!$B$3:$B$122,'Master Data'!$C$3:$W$122))-$B52)</f>
        <v>0</v>
      </c>
      <c r="L52" s="176" cm="1">
        <f t="array" ref="L52">10^3*(_xlfn.XLOOKUP(L$8,'Master Data'!$C$2:$W$2,_xlfn.XLOOKUP($A52,'Master Data'!$B$3:$B$122,'Master Data'!$C$3:$W$122))-$B52)</f>
        <v>0</v>
      </c>
      <c r="M52" s="176" cm="1">
        <f t="array" ref="M52">10^3*(_xlfn.XLOOKUP(M$8,'Master Data'!$C$2:$W$2,_xlfn.XLOOKUP($A52,'Master Data'!$B$3:$B$122,'Master Data'!$C$3:$W$122))-$B52)</f>
        <v>0</v>
      </c>
      <c r="N52" s="176" cm="1">
        <f t="array" ref="N52">10^3*(_xlfn.XLOOKUP(N$8,'Master Data'!$C$2:$W$2,_xlfn.XLOOKUP($A52,'Master Data'!$B$3:$B$122,'Master Data'!$C$3:$W$122))-$B52)</f>
        <v>0</v>
      </c>
      <c r="O52" s="176" cm="1">
        <f t="array" ref="O52">10^3*(_xlfn.XLOOKUP(O$8,'Master Data'!$C$2:$W$2,_xlfn.XLOOKUP($A52,'Master Data'!$B$3:$B$122,'Master Data'!$C$3:$W$122))-$B52)</f>
        <v>0</v>
      </c>
      <c r="P52" s="176" cm="1">
        <f t="array" ref="P52">10^3*(_xlfn.XLOOKUP(P$8,'Master Data'!$C$2:$W$2,_xlfn.XLOOKUP($A52,'Master Data'!$B$3:$B$122,'Master Data'!$C$3:$W$122))-$B52)</f>
        <v>5000</v>
      </c>
      <c r="Q52" s="176" cm="1">
        <f t="array" ref="Q52">10^3*(_xlfn.XLOOKUP(Q$8,'Master Data'!$C$2:$W$2,_xlfn.XLOOKUP($A52,'Master Data'!$B$3:$B$122,'Master Data'!$C$3:$W$122))-$B52)</f>
        <v>5000</v>
      </c>
      <c r="R52" s="176" cm="1">
        <f t="array" ref="R52">10^3*(_xlfn.XLOOKUP(R$8,'Master Data'!$C$2:$W$2,_xlfn.XLOOKUP($A52,'Master Data'!$B$3:$B$122,'Master Data'!$C$3:$W$122))-$B52)</f>
        <v>5000</v>
      </c>
      <c r="S52" s="176" cm="1">
        <f t="array" ref="S52">10^3*(_xlfn.XLOOKUP(S$8,'Master Data'!$C$2:$W$2,_xlfn.XLOOKUP($A52,'Master Data'!$B$3:$B$122,'Master Data'!$C$3:$W$122))-$B52)</f>
        <v>0</v>
      </c>
      <c r="T52" s="176" cm="1">
        <f t="array" ref="T52">10^3*(_xlfn.XLOOKUP(T$8,'Master Data'!$C$2:$W$2,_xlfn.XLOOKUP($A52,'Master Data'!$B$3:$B$122,'Master Data'!$C$3:$W$122))-$B52)</f>
        <v>5000</v>
      </c>
      <c r="U52" s="176" cm="1">
        <f t="array" ref="U52">10^3*(_xlfn.XLOOKUP(U$8,'Master Data'!$C$2:$W$2,_xlfn.XLOOKUP($A52,'Master Data'!$B$3:$B$122,'Master Data'!$C$3:$W$122))-$B52)</f>
        <v>5000</v>
      </c>
      <c r="V52" s="176" cm="1">
        <f t="array" ref="V52">10^3*(_xlfn.XLOOKUP(V$8,'Master Data'!$C$2:$W$2,_xlfn.XLOOKUP($A52,'Master Data'!$B$3:$B$122,'Master Data'!$C$3:$W$122))-$B52)</f>
        <v>5000</v>
      </c>
      <c r="W52" s="176" cm="1">
        <f t="array" ref="W52">10^3*(_xlfn.XLOOKUP(W$8,'Master Data'!$C$2:$W$2,_xlfn.XLOOKUP($A52,'Master Data'!$B$3:$B$122,'Master Data'!$C$3:$W$122))-$B52)</f>
        <v>0</v>
      </c>
      <c r="X52" s="176" cm="1">
        <f t="array" ref="X52">10^3*(_xlfn.XLOOKUP(X$8,'Master Data'!$C$2:$W$2,_xlfn.XLOOKUP($A52,'Master Data'!$B$3:$B$122,'Master Data'!$C$3:$W$122))-$B52)</f>
        <v>0</v>
      </c>
      <c r="Y52" s="177" cm="1">
        <f t="array" ref="Y52">10^3*(_xlfn.XLOOKUP(Y$8,'Master Data'!$C$2:$W$2,_xlfn.XLOOKUP($A52,'Master Data'!$B$3:$B$122,'Master Data'!$C$3:$W$122))-$B52)</f>
        <v>0</v>
      </c>
      <c r="Z52" s="177" t="e" cm="1">
        <f t="array" ref="Z52">10^3*(_xlfn.XLOOKUP(Z$8,'Master Data'!$C$2:$W$2,_xlfn.XLOOKUP($A52,'Master Data'!$B$3:$B$122,'Master Data'!$C$3:$W$122))-$B52)</f>
        <v>#N/A</v>
      </c>
      <c r="AA52" s="177" t="e" cm="1">
        <f t="array" ref="AA52">10^3*(_xlfn.XLOOKUP(AA$8,'Master Data'!$C$2:$W$2,_xlfn.XLOOKUP($A52,'Master Data'!$B$3:$B$122,'Master Data'!$C$3:$W$122))-$B52)</f>
        <v>#N/A</v>
      </c>
    </row>
    <row r="53" spans="1:27" s="172" customFormat="1" x14ac:dyDescent="0.25">
      <c r="A53" s="158" t="s">
        <v>203</v>
      </c>
      <c r="B53" s="167">
        <v>67.5</v>
      </c>
      <c r="C53" s="168" t="b">
        <f>ISNUMBER(_xlfn.XMATCH(A53,'Master Data'!$B$3:$B$122))</f>
        <v>1</v>
      </c>
      <c r="D53" s="168"/>
      <c r="E53" s="169" cm="1">
        <f t="array" ref="E53">10^3*(_xlfn.XLOOKUP(E$8,'Master Data'!$C$2:$W$2,_xlfn.XLOOKUP($A53,'Master Data'!$B$3:$B$122,'Master Data'!$C$3:$W$122))-$B53)</f>
        <v>-67500</v>
      </c>
      <c r="F53" s="170" cm="1">
        <f t="array" ref="F53">10^3*(_xlfn.XLOOKUP(F$8,'Master Data'!$C$2:$W$2,_xlfn.XLOOKUP($A53,'Master Data'!$B$3:$B$122,'Master Data'!$C$3:$W$122))-$B53)</f>
        <v>-67500</v>
      </c>
      <c r="G53" s="170" cm="1">
        <f t="array" ref="G53">10^3*(_xlfn.XLOOKUP(G$8,'Master Data'!$C$2:$W$2,_xlfn.XLOOKUP($A53,'Master Data'!$B$3:$B$122,'Master Data'!$C$3:$W$122))-$B53)</f>
        <v>-67500</v>
      </c>
      <c r="H53" s="170" cm="1">
        <f t="array" ref="H53">10^3*(_xlfn.XLOOKUP(H$8,'Master Data'!$C$2:$W$2,_xlfn.XLOOKUP($A53,'Master Data'!$B$3:$B$122,'Master Data'!$C$3:$W$122))-$B53)</f>
        <v>-67500</v>
      </c>
      <c r="I53" s="170" cm="1">
        <f t="array" ref="I53">10^3*(_xlfn.XLOOKUP(I$8,'Master Data'!$C$2:$W$2,_xlfn.XLOOKUP($A53,'Master Data'!$B$3:$B$122,'Master Data'!$C$3:$W$122))-$B53)</f>
        <v>-67500</v>
      </c>
      <c r="J53" s="170" cm="1">
        <f t="array" ref="J53">10^3*(_xlfn.XLOOKUP(J$8,'Master Data'!$C$2:$W$2,_xlfn.XLOOKUP($A53,'Master Data'!$B$3:$B$122,'Master Data'!$C$3:$W$122))-$B53)</f>
        <v>-67500</v>
      </c>
      <c r="K53" s="170" cm="1">
        <f t="array" ref="K53">10^3*(_xlfn.XLOOKUP(K$8,'Master Data'!$C$2:$W$2,_xlfn.XLOOKUP($A53,'Master Data'!$B$3:$B$122,'Master Data'!$C$3:$W$122))-$B53)</f>
        <v>-67500</v>
      </c>
      <c r="L53" s="170" cm="1">
        <f t="array" ref="L53">10^3*(_xlfn.XLOOKUP(L$8,'Master Data'!$C$2:$W$2,_xlfn.XLOOKUP($A53,'Master Data'!$B$3:$B$122,'Master Data'!$C$3:$W$122))-$B53)</f>
        <v>-67500</v>
      </c>
      <c r="M53" s="170" cm="1">
        <f t="array" ref="M53">10^3*(_xlfn.XLOOKUP(M$8,'Master Data'!$C$2:$W$2,_xlfn.XLOOKUP($A53,'Master Data'!$B$3:$B$122,'Master Data'!$C$3:$W$122))-$B53)</f>
        <v>-67500</v>
      </c>
      <c r="N53" s="170" cm="1">
        <f t="array" ref="N53">10^3*(_xlfn.XLOOKUP(N$8,'Master Data'!$C$2:$W$2,_xlfn.XLOOKUP($A53,'Master Data'!$B$3:$B$122,'Master Data'!$C$3:$W$122))-$B53)</f>
        <v>-67500</v>
      </c>
      <c r="O53" s="170" cm="1">
        <f t="array" ref="O53">10^3*(_xlfn.XLOOKUP(O$8,'Master Data'!$C$2:$W$2,_xlfn.XLOOKUP($A53,'Master Data'!$B$3:$B$122,'Master Data'!$C$3:$W$122))-$B53)</f>
        <v>-67500</v>
      </c>
      <c r="P53" s="170" cm="1">
        <f t="array" ref="P53">10^3*(_xlfn.XLOOKUP(P$8,'Master Data'!$C$2:$W$2,_xlfn.XLOOKUP($A53,'Master Data'!$B$3:$B$122,'Master Data'!$C$3:$W$122))-$B53)</f>
        <v>-67500</v>
      </c>
      <c r="Q53" s="170" cm="1">
        <f t="array" ref="Q53">10^3*(_xlfn.XLOOKUP(Q$8,'Master Data'!$C$2:$W$2,_xlfn.XLOOKUP($A53,'Master Data'!$B$3:$B$122,'Master Data'!$C$3:$W$122))-$B53)</f>
        <v>-67500</v>
      </c>
      <c r="R53" s="170" cm="1">
        <f t="array" ref="R53">10^3*(_xlfn.XLOOKUP(R$8,'Master Data'!$C$2:$W$2,_xlfn.XLOOKUP($A53,'Master Data'!$B$3:$B$122,'Master Data'!$C$3:$W$122))-$B53)</f>
        <v>-67500</v>
      </c>
      <c r="S53" s="170" cm="1">
        <f t="array" ref="S53">10^3*(_xlfn.XLOOKUP(S$8,'Master Data'!$C$2:$W$2,_xlfn.XLOOKUP($A53,'Master Data'!$B$3:$B$122,'Master Data'!$C$3:$W$122))-$B53)</f>
        <v>-67500</v>
      </c>
      <c r="T53" s="170" cm="1">
        <f t="array" ref="T53">10^3*(_xlfn.XLOOKUP(T$8,'Master Data'!$C$2:$W$2,_xlfn.XLOOKUP($A53,'Master Data'!$B$3:$B$122,'Master Data'!$C$3:$W$122))-$B53)</f>
        <v>-67500</v>
      </c>
      <c r="U53" s="170" cm="1">
        <f t="array" ref="U53">10^3*(_xlfn.XLOOKUP(U$8,'Master Data'!$C$2:$W$2,_xlfn.XLOOKUP($A53,'Master Data'!$B$3:$B$122,'Master Data'!$C$3:$W$122))-$B53)</f>
        <v>-67500</v>
      </c>
      <c r="V53" s="170" cm="1">
        <f t="array" ref="V53">10^3*(_xlfn.XLOOKUP(V$8,'Master Data'!$C$2:$W$2,_xlfn.XLOOKUP($A53,'Master Data'!$B$3:$B$122,'Master Data'!$C$3:$W$122))-$B53)</f>
        <v>-67500</v>
      </c>
      <c r="W53" s="170" cm="1">
        <f t="array" ref="W53">10^3*(_xlfn.XLOOKUP(W$8,'Master Data'!$C$2:$W$2,_xlfn.XLOOKUP($A53,'Master Data'!$B$3:$B$122,'Master Data'!$C$3:$W$122))-$B53)</f>
        <v>-67500</v>
      </c>
      <c r="X53" s="170" cm="1">
        <f t="array" ref="X53">10^3*(_xlfn.XLOOKUP(X$8,'Master Data'!$C$2:$W$2,_xlfn.XLOOKUP($A53,'Master Data'!$B$3:$B$122,'Master Data'!$C$3:$W$122))-$B53)</f>
        <v>-67500</v>
      </c>
      <c r="Y53" s="171" cm="1">
        <f t="array" ref="Y53">10^3*(_xlfn.XLOOKUP(Y$8,'Master Data'!$C$2:$W$2,_xlfn.XLOOKUP($A53,'Master Data'!$B$3:$B$122,'Master Data'!$C$3:$W$122))-$B53)</f>
        <v>-67500</v>
      </c>
      <c r="Z53" s="171" t="e" cm="1">
        <f t="array" ref="Z53">10^3*(_xlfn.XLOOKUP(Z$8,'Master Data'!$C$2:$W$2,_xlfn.XLOOKUP($A53,'Master Data'!$B$3:$B$122,'Master Data'!$C$3:$W$122))-$B53)</f>
        <v>#N/A</v>
      </c>
      <c r="AA53" s="171" t="e" cm="1">
        <f t="array" ref="AA53">10^3*(_xlfn.XLOOKUP(AA$8,'Master Data'!$C$2:$W$2,_xlfn.XLOOKUP($A53,'Master Data'!$B$3:$B$122,'Master Data'!$C$3:$W$122))-$B53)</f>
        <v>#N/A</v>
      </c>
    </row>
    <row r="54" spans="1:27" s="172" customFormat="1" x14ac:dyDescent="0.25">
      <c r="A54" s="173" t="s">
        <v>104</v>
      </c>
      <c r="B54" s="174">
        <v>65</v>
      </c>
      <c r="C54" s="172" t="b">
        <f>ISNUMBER(_xlfn.XMATCH(A54,'Master Data'!$B$3:$B$122))</f>
        <v>1</v>
      </c>
      <c r="E54" s="175" cm="1">
        <f t="array" ref="E54">10^3*(_xlfn.XLOOKUP(E$8,'Master Data'!$C$2:$W$2,_xlfn.XLOOKUP($A54,'Master Data'!$B$3:$B$122,'Master Data'!$C$3:$W$122))-$B54)</f>
        <v>10000</v>
      </c>
      <c r="F54" s="176" cm="1">
        <f t="array" ref="F54">10^3*(_xlfn.XLOOKUP(F$8,'Master Data'!$C$2:$W$2,_xlfn.XLOOKUP($A54,'Master Data'!$B$3:$B$122,'Master Data'!$C$3:$W$122))-$B54)</f>
        <v>10000</v>
      </c>
      <c r="G54" s="176" cm="1">
        <f t="array" ref="G54">10^3*(_xlfn.XLOOKUP(G$8,'Master Data'!$C$2:$W$2,_xlfn.XLOOKUP($A54,'Master Data'!$B$3:$B$122,'Master Data'!$C$3:$W$122))-$B54)</f>
        <v>10000</v>
      </c>
      <c r="H54" s="176" cm="1">
        <f t="array" ref="H54">10^3*(_xlfn.XLOOKUP(H$8,'Master Data'!$C$2:$W$2,_xlfn.XLOOKUP($A54,'Master Data'!$B$3:$B$122,'Master Data'!$C$3:$W$122))-$B54)</f>
        <v>10000</v>
      </c>
      <c r="I54" s="176" cm="1">
        <f t="array" ref="I54">10^3*(_xlfn.XLOOKUP(I$8,'Master Data'!$C$2:$W$2,_xlfn.XLOOKUP($A54,'Master Data'!$B$3:$B$122,'Master Data'!$C$3:$W$122))-$B54)</f>
        <v>10000</v>
      </c>
      <c r="J54" s="176" cm="1">
        <f t="array" ref="J54">10^3*(_xlfn.XLOOKUP(J$8,'Master Data'!$C$2:$W$2,_xlfn.XLOOKUP($A54,'Master Data'!$B$3:$B$122,'Master Data'!$C$3:$W$122))-$B54)</f>
        <v>10000</v>
      </c>
      <c r="K54" s="176" cm="1">
        <f t="array" ref="K54">10^3*(_xlfn.XLOOKUP(K$8,'Master Data'!$C$2:$W$2,_xlfn.XLOOKUP($A54,'Master Data'!$B$3:$B$122,'Master Data'!$C$3:$W$122))-$B54)</f>
        <v>10000</v>
      </c>
      <c r="L54" s="176" cm="1">
        <f t="array" ref="L54">10^3*(_xlfn.XLOOKUP(L$8,'Master Data'!$C$2:$W$2,_xlfn.XLOOKUP($A54,'Master Data'!$B$3:$B$122,'Master Data'!$C$3:$W$122))-$B54)</f>
        <v>10000</v>
      </c>
      <c r="M54" s="176" cm="1">
        <f t="array" ref="M54">10^3*(_xlfn.XLOOKUP(M$8,'Master Data'!$C$2:$W$2,_xlfn.XLOOKUP($A54,'Master Data'!$B$3:$B$122,'Master Data'!$C$3:$W$122))-$B54)</f>
        <v>10000</v>
      </c>
      <c r="N54" s="176" cm="1">
        <f t="array" ref="N54">10^3*(_xlfn.XLOOKUP(N$8,'Master Data'!$C$2:$W$2,_xlfn.XLOOKUP($A54,'Master Data'!$B$3:$B$122,'Master Data'!$C$3:$W$122))-$B54)</f>
        <v>10000</v>
      </c>
      <c r="O54" s="176" cm="1">
        <f t="array" ref="O54">10^3*(_xlfn.XLOOKUP(O$8,'Master Data'!$C$2:$W$2,_xlfn.XLOOKUP($A54,'Master Data'!$B$3:$B$122,'Master Data'!$C$3:$W$122))-$B54)</f>
        <v>10000</v>
      </c>
      <c r="P54" s="176" cm="1">
        <f t="array" ref="P54">10^3*(_xlfn.XLOOKUP(P$8,'Master Data'!$C$2:$W$2,_xlfn.XLOOKUP($A54,'Master Data'!$B$3:$B$122,'Master Data'!$C$3:$W$122))-$B54)</f>
        <v>10000</v>
      </c>
      <c r="Q54" s="176" cm="1">
        <f t="array" ref="Q54">10^3*(_xlfn.XLOOKUP(Q$8,'Master Data'!$C$2:$W$2,_xlfn.XLOOKUP($A54,'Master Data'!$B$3:$B$122,'Master Data'!$C$3:$W$122))-$B54)</f>
        <v>10000</v>
      </c>
      <c r="R54" s="176" cm="1">
        <f t="array" ref="R54">10^3*(_xlfn.XLOOKUP(R$8,'Master Data'!$C$2:$W$2,_xlfn.XLOOKUP($A54,'Master Data'!$B$3:$B$122,'Master Data'!$C$3:$W$122))-$B54)</f>
        <v>10000</v>
      </c>
      <c r="S54" s="176" cm="1">
        <f t="array" ref="S54">10^3*(_xlfn.XLOOKUP(S$8,'Master Data'!$C$2:$W$2,_xlfn.XLOOKUP($A54,'Master Data'!$B$3:$B$122,'Master Data'!$C$3:$W$122))-$B54)</f>
        <v>10000</v>
      </c>
      <c r="T54" s="176" cm="1">
        <f t="array" ref="T54">10^3*(_xlfn.XLOOKUP(T$8,'Master Data'!$C$2:$W$2,_xlfn.XLOOKUP($A54,'Master Data'!$B$3:$B$122,'Master Data'!$C$3:$W$122))-$B54)</f>
        <v>10000</v>
      </c>
      <c r="U54" s="176" cm="1">
        <f t="array" ref="U54">10^3*(_xlfn.XLOOKUP(U$8,'Master Data'!$C$2:$W$2,_xlfn.XLOOKUP($A54,'Master Data'!$B$3:$B$122,'Master Data'!$C$3:$W$122))-$B54)</f>
        <v>10000</v>
      </c>
      <c r="V54" s="176" cm="1">
        <f t="array" ref="V54">10^3*(_xlfn.XLOOKUP(V$8,'Master Data'!$C$2:$W$2,_xlfn.XLOOKUP($A54,'Master Data'!$B$3:$B$122,'Master Data'!$C$3:$W$122))-$B54)</f>
        <v>10000</v>
      </c>
      <c r="W54" s="176" cm="1">
        <f t="array" ref="W54">10^3*(_xlfn.XLOOKUP(W$8,'Master Data'!$C$2:$W$2,_xlfn.XLOOKUP($A54,'Master Data'!$B$3:$B$122,'Master Data'!$C$3:$W$122))-$B54)</f>
        <v>10000</v>
      </c>
      <c r="X54" s="176" cm="1">
        <f t="array" ref="X54">10^3*(_xlfn.XLOOKUP(X$8,'Master Data'!$C$2:$W$2,_xlfn.XLOOKUP($A54,'Master Data'!$B$3:$B$122,'Master Data'!$C$3:$W$122))-$B54)</f>
        <v>10000</v>
      </c>
      <c r="Y54" s="177" cm="1">
        <f t="array" ref="Y54">10^3*(_xlfn.XLOOKUP(Y$8,'Master Data'!$C$2:$W$2,_xlfn.XLOOKUP($A54,'Master Data'!$B$3:$B$122,'Master Data'!$C$3:$W$122))-$B54)</f>
        <v>10000</v>
      </c>
      <c r="Z54" s="177" t="e" cm="1">
        <f t="array" ref="Z54">10^3*(_xlfn.XLOOKUP(Z$8,'Master Data'!$C$2:$W$2,_xlfn.XLOOKUP($A54,'Master Data'!$B$3:$B$122,'Master Data'!$C$3:$W$122))-$B54)</f>
        <v>#N/A</v>
      </c>
      <c r="AA54" s="177" t="e" cm="1">
        <f t="array" ref="AA54">10^3*(_xlfn.XLOOKUP(AA$8,'Master Data'!$C$2:$W$2,_xlfn.XLOOKUP($A54,'Master Data'!$B$3:$B$122,'Master Data'!$C$3:$W$122))-$B54)</f>
        <v>#N/A</v>
      </c>
    </row>
    <row r="55" spans="1:27" s="172" customFormat="1" x14ac:dyDescent="0.25">
      <c r="A55" s="173" t="s">
        <v>58</v>
      </c>
      <c r="B55" s="174">
        <v>78</v>
      </c>
      <c r="C55" s="172" t="b">
        <f>ISNUMBER(_xlfn.XMATCH(A55,'Master Data'!$B$3:$B$122))</f>
        <v>1</v>
      </c>
      <c r="E55" s="175" cm="1">
        <f t="array" ref="E55">10^3*(_xlfn.XLOOKUP(E$8,'Master Data'!$C$2:$W$2,_xlfn.XLOOKUP($A55,'Master Data'!$B$3:$B$122,'Master Data'!$C$3:$W$122))-$B55)</f>
        <v>7000</v>
      </c>
      <c r="F55" s="176" cm="1">
        <f t="array" ref="F55">10^3*(_xlfn.XLOOKUP(F$8,'Master Data'!$C$2:$W$2,_xlfn.XLOOKUP($A55,'Master Data'!$B$3:$B$122,'Master Data'!$C$3:$W$122))-$B55)</f>
        <v>7000</v>
      </c>
      <c r="G55" s="176" cm="1">
        <f t="array" ref="G55">10^3*(_xlfn.XLOOKUP(G$8,'Master Data'!$C$2:$W$2,_xlfn.XLOOKUP($A55,'Master Data'!$B$3:$B$122,'Master Data'!$C$3:$W$122))-$B55)</f>
        <v>6000</v>
      </c>
      <c r="H55" s="176" cm="1">
        <f t="array" ref="H55">10^3*(_xlfn.XLOOKUP(H$8,'Master Data'!$C$2:$W$2,_xlfn.XLOOKUP($A55,'Master Data'!$B$3:$B$122,'Master Data'!$C$3:$W$122))-$B55)</f>
        <v>6000</v>
      </c>
      <c r="I55" s="176" cm="1">
        <f t="array" ref="I55">10^3*(_xlfn.XLOOKUP(I$8,'Master Data'!$C$2:$W$2,_xlfn.XLOOKUP($A55,'Master Data'!$B$3:$B$122,'Master Data'!$C$3:$W$122))-$B55)</f>
        <v>6000</v>
      </c>
      <c r="J55" s="176" cm="1">
        <f t="array" ref="J55">10^3*(_xlfn.XLOOKUP(J$8,'Master Data'!$C$2:$W$2,_xlfn.XLOOKUP($A55,'Master Data'!$B$3:$B$122,'Master Data'!$C$3:$W$122))-$B55)</f>
        <v>6000</v>
      </c>
      <c r="K55" s="176" cm="1">
        <f t="array" ref="K55">10^3*(_xlfn.XLOOKUP(K$8,'Master Data'!$C$2:$W$2,_xlfn.XLOOKUP($A55,'Master Data'!$B$3:$B$122,'Master Data'!$C$3:$W$122))-$B55)</f>
        <v>6000</v>
      </c>
      <c r="L55" s="176" cm="1">
        <f t="array" ref="L55">10^3*(_xlfn.XLOOKUP(L$8,'Master Data'!$C$2:$W$2,_xlfn.XLOOKUP($A55,'Master Data'!$B$3:$B$122,'Master Data'!$C$3:$W$122))-$B55)</f>
        <v>6000</v>
      </c>
      <c r="M55" s="176" cm="1">
        <f t="array" ref="M55">10^3*(_xlfn.XLOOKUP(M$8,'Master Data'!$C$2:$W$2,_xlfn.XLOOKUP($A55,'Master Data'!$B$3:$B$122,'Master Data'!$C$3:$W$122))-$B55)</f>
        <v>6000</v>
      </c>
      <c r="N55" s="176" cm="1">
        <f t="array" ref="N55">10^3*(_xlfn.XLOOKUP(N$8,'Master Data'!$C$2:$W$2,_xlfn.XLOOKUP($A55,'Master Data'!$B$3:$B$122,'Master Data'!$C$3:$W$122))-$B55)</f>
        <v>6000</v>
      </c>
      <c r="O55" s="176" cm="1">
        <f t="array" ref="O55">10^3*(_xlfn.XLOOKUP(O$8,'Master Data'!$C$2:$W$2,_xlfn.XLOOKUP($A55,'Master Data'!$B$3:$B$122,'Master Data'!$C$3:$W$122))-$B55)</f>
        <v>6000</v>
      </c>
      <c r="P55" s="176" cm="1">
        <f t="array" ref="P55">10^3*(_xlfn.XLOOKUP(P$8,'Master Data'!$C$2:$W$2,_xlfn.XLOOKUP($A55,'Master Data'!$B$3:$B$122,'Master Data'!$C$3:$W$122))-$B55)</f>
        <v>7000</v>
      </c>
      <c r="Q55" s="176" cm="1">
        <f t="array" ref="Q55">10^3*(_xlfn.XLOOKUP(Q$8,'Master Data'!$C$2:$W$2,_xlfn.XLOOKUP($A55,'Master Data'!$B$3:$B$122,'Master Data'!$C$3:$W$122))-$B55)</f>
        <v>7000</v>
      </c>
      <c r="R55" s="176" cm="1">
        <f t="array" ref="R55">10^3*(_xlfn.XLOOKUP(R$8,'Master Data'!$C$2:$W$2,_xlfn.XLOOKUP($A55,'Master Data'!$B$3:$B$122,'Master Data'!$C$3:$W$122))-$B55)</f>
        <v>7000</v>
      </c>
      <c r="S55" s="176" cm="1">
        <f t="array" ref="S55">10^3*(_xlfn.XLOOKUP(S$8,'Master Data'!$C$2:$W$2,_xlfn.XLOOKUP($A55,'Master Data'!$B$3:$B$122,'Master Data'!$C$3:$W$122))-$B55)</f>
        <v>6000</v>
      </c>
      <c r="T55" s="176" cm="1">
        <f t="array" ref="T55">10^3*(_xlfn.XLOOKUP(T$8,'Master Data'!$C$2:$W$2,_xlfn.XLOOKUP($A55,'Master Data'!$B$3:$B$122,'Master Data'!$C$3:$W$122))-$B55)</f>
        <v>7000</v>
      </c>
      <c r="U55" s="176" cm="1">
        <f t="array" ref="U55">10^3*(_xlfn.XLOOKUP(U$8,'Master Data'!$C$2:$W$2,_xlfn.XLOOKUP($A55,'Master Data'!$B$3:$B$122,'Master Data'!$C$3:$W$122))-$B55)</f>
        <v>7000</v>
      </c>
      <c r="V55" s="176" cm="1">
        <f t="array" ref="V55">10^3*(_xlfn.XLOOKUP(V$8,'Master Data'!$C$2:$W$2,_xlfn.XLOOKUP($A55,'Master Data'!$B$3:$B$122,'Master Data'!$C$3:$W$122))-$B55)</f>
        <v>7000</v>
      </c>
      <c r="W55" s="176" cm="1">
        <f t="array" ref="W55">10^3*(_xlfn.XLOOKUP(W$8,'Master Data'!$C$2:$W$2,_xlfn.XLOOKUP($A55,'Master Data'!$B$3:$B$122,'Master Data'!$C$3:$W$122))-$B55)</f>
        <v>6000</v>
      </c>
      <c r="X55" s="176" cm="1">
        <f t="array" ref="X55">10^3*(_xlfn.XLOOKUP(X$8,'Master Data'!$C$2:$W$2,_xlfn.XLOOKUP($A55,'Master Data'!$B$3:$B$122,'Master Data'!$C$3:$W$122))-$B55)</f>
        <v>6000</v>
      </c>
      <c r="Y55" s="177" cm="1">
        <f t="array" ref="Y55">10^3*(_xlfn.XLOOKUP(Y$8,'Master Data'!$C$2:$W$2,_xlfn.XLOOKUP($A55,'Master Data'!$B$3:$B$122,'Master Data'!$C$3:$W$122))-$B55)</f>
        <v>6000</v>
      </c>
      <c r="Z55" s="177" t="e" cm="1">
        <f t="array" ref="Z55">10^3*(_xlfn.XLOOKUP(Z$8,'Master Data'!$C$2:$W$2,_xlfn.XLOOKUP($A55,'Master Data'!$B$3:$B$122,'Master Data'!$C$3:$W$122))-$B55)</f>
        <v>#N/A</v>
      </c>
      <c r="AA55" s="177" t="e" cm="1">
        <f t="array" ref="AA55">10^3*(_xlfn.XLOOKUP(AA$8,'Master Data'!$C$2:$W$2,_xlfn.XLOOKUP($A55,'Master Data'!$B$3:$B$122,'Master Data'!$C$3:$W$122))-$B55)</f>
        <v>#N/A</v>
      </c>
    </row>
    <row r="56" spans="1:27" s="172" customFormat="1" x14ac:dyDescent="0.25">
      <c r="A56" s="173" t="s">
        <v>105</v>
      </c>
      <c r="B56" s="174">
        <v>65</v>
      </c>
      <c r="C56" s="172" t="b">
        <f>ISNUMBER(_xlfn.XMATCH(A56,'Master Data'!$B$3:$B$122))</f>
        <v>1</v>
      </c>
      <c r="E56" s="175" cm="1">
        <f t="array" ref="E56">10^3*(_xlfn.XLOOKUP(E$8,'Master Data'!$C$2:$W$2,_xlfn.XLOOKUP($A56,'Master Data'!$B$3:$B$122,'Master Data'!$C$3:$W$122))-$B56)</f>
        <v>10000</v>
      </c>
      <c r="F56" s="176" cm="1">
        <f t="array" ref="F56">10^3*(_xlfn.XLOOKUP(F$8,'Master Data'!$C$2:$W$2,_xlfn.XLOOKUP($A56,'Master Data'!$B$3:$B$122,'Master Data'!$C$3:$W$122))-$B56)</f>
        <v>10000</v>
      </c>
      <c r="G56" s="176" cm="1">
        <f t="array" ref="G56">10^3*(_xlfn.XLOOKUP(G$8,'Master Data'!$C$2:$W$2,_xlfn.XLOOKUP($A56,'Master Data'!$B$3:$B$122,'Master Data'!$C$3:$W$122))-$B56)</f>
        <v>10000</v>
      </c>
      <c r="H56" s="176" cm="1">
        <f t="array" ref="H56">10^3*(_xlfn.XLOOKUP(H$8,'Master Data'!$C$2:$W$2,_xlfn.XLOOKUP($A56,'Master Data'!$B$3:$B$122,'Master Data'!$C$3:$W$122))-$B56)</f>
        <v>10000</v>
      </c>
      <c r="I56" s="176" cm="1">
        <f t="array" ref="I56">10^3*(_xlfn.XLOOKUP(I$8,'Master Data'!$C$2:$W$2,_xlfn.XLOOKUP($A56,'Master Data'!$B$3:$B$122,'Master Data'!$C$3:$W$122))-$B56)</f>
        <v>10000</v>
      </c>
      <c r="J56" s="176" cm="1">
        <f t="array" ref="J56">10^3*(_xlfn.XLOOKUP(J$8,'Master Data'!$C$2:$W$2,_xlfn.XLOOKUP($A56,'Master Data'!$B$3:$B$122,'Master Data'!$C$3:$W$122))-$B56)</f>
        <v>10000</v>
      </c>
      <c r="K56" s="176" cm="1">
        <f t="array" ref="K56">10^3*(_xlfn.XLOOKUP(K$8,'Master Data'!$C$2:$W$2,_xlfn.XLOOKUP($A56,'Master Data'!$B$3:$B$122,'Master Data'!$C$3:$W$122))-$B56)</f>
        <v>10000</v>
      </c>
      <c r="L56" s="176" cm="1">
        <f t="array" ref="L56">10^3*(_xlfn.XLOOKUP(L$8,'Master Data'!$C$2:$W$2,_xlfn.XLOOKUP($A56,'Master Data'!$B$3:$B$122,'Master Data'!$C$3:$W$122))-$B56)</f>
        <v>10000</v>
      </c>
      <c r="M56" s="176" cm="1">
        <f t="array" ref="M56">10^3*(_xlfn.XLOOKUP(M$8,'Master Data'!$C$2:$W$2,_xlfn.XLOOKUP($A56,'Master Data'!$B$3:$B$122,'Master Data'!$C$3:$W$122))-$B56)</f>
        <v>10000</v>
      </c>
      <c r="N56" s="176" cm="1">
        <f t="array" ref="N56">10^3*(_xlfn.XLOOKUP(N$8,'Master Data'!$C$2:$W$2,_xlfn.XLOOKUP($A56,'Master Data'!$B$3:$B$122,'Master Data'!$C$3:$W$122))-$B56)</f>
        <v>10000</v>
      </c>
      <c r="O56" s="176" cm="1">
        <f t="array" ref="O56">10^3*(_xlfn.XLOOKUP(O$8,'Master Data'!$C$2:$W$2,_xlfn.XLOOKUP($A56,'Master Data'!$B$3:$B$122,'Master Data'!$C$3:$W$122))-$B56)</f>
        <v>10000</v>
      </c>
      <c r="P56" s="176" cm="1">
        <f t="array" ref="P56">10^3*(_xlfn.XLOOKUP(P$8,'Master Data'!$C$2:$W$2,_xlfn.XLOOKUP($A56,'Master Data'!$B$3:$B$122,'Master Data'!$C$3:$W$122))-$B56)</f>
        <v>10000</v>
      </c>
      <c r="Q56" s="176" cm="1">
        <f t="array" ref="Q56">10^3*(_xlfn.XLOOKUP(Q$8,'Master Data'!$C$2:$W$2,_xlfn.XLOOKUP($A56,'Master Data'!$B$3:$B$122,'Master Data'!$C$3:$W$122))-$B56)</f>
        <v>10000</v>
      </c>
      <c r="R56" s="176" cm="1">
        <f t="array" ref="R56">10^3*(_xlfn.XLOOKUP(R$8,'Master Data'!$C$2:$W$2,_xlfn.XLOOKUP($A56,'Master Data'!$B$3:$B$122,'Master Data'!$C$3:$W$122))-$B56)</f>
        <v>10000</v>
      </c>
      <c r="S56" s="176" cm="1">
        <f t="array" ref="S56">10^3*(_xlfn.XLOOKUP(S$8,'Master Data'!$C$2:$W$2,_xlfn.XLOOKUP($A56,'Master Data'!$B$3:$B$122,'Master Data'!$C$3:$W$122))-$B56)</f>
        <v>10000</v>
      </c>
      <c r="T56" s="176" cm="1">
        <f t="array" ref="T56">10^3*(_xlfn.XLOOKUP(T$8,'Master Data'!$C$2:$W$2,_xlfn.XLOOKUP($A56,'Master Data'!$B$3:$B$122,'Master Data'!$C$3:$W$122))-$B56)</f>
        <v>10000</v>
      </c>
      <c r="U56" s="176" cm="1">
        <f t="array" ref="U56">10^3*(_xlfn.XLOOKUP(U$8,'Master Data'!$C$2:$W$2,_xlfn.XLOOKUP($A56,'Master Data'!$B$3:$B$122,'Master Data'!$C$3:$W$122))-$B56)</f>
        <v>10000</v>
      </c>
      <c r="V56" s="176" cm="1">
        <f t="array" ref="V56">10^3*(_xlfn.XLOOKUP(V$8,'Master Data'!$C$2:$W$2,_xlfn.XLOOKUP($A56,'Master Data'!$B$3:$B$122,'Master Data'!$C$3:$W$122))-$B56)</f>
        <v>10000</v>
      </c>
      <c r="W56" s="176" cm="1">
        <f t="array" ref="W56">10^3*(_xlfn.XLOOKUP(W$8,'Master Data'!$C$2:$W$2,_xlfn.XLOOKUP($A56,'Master Data'!$B$3:$B$122,'Master Data'!$C$3:$W$122))-$B56)</f>
        <v>10000</v>
      </c>
      <c r="X56" s="176" cm="1">
        <f t="array" ref="X56">10^3*(_xlfn.XLOOKUP(X$8,'Master Data'!$C$2:$W$2,_xlfn.XLOOKUP($A56,'Master Data'!$B$3:$B$122,'Master Data'!$C$3:$W$122))-$B56)</f>
        <v>10000</v>
      </c>
      <c r="Y56" s="177" cm="1">
        <f t="array" ref="Y56">10^3*(_xlfn.XLOOKUP(Y$8,'Master Data'!$C$2:$W$2,_xlfn.XLOOKUP($A56,'Master Data'!$B$3:$B$122,'Master Data'!$C$3:$W$122))-$B56)</f>
        <v>10000</v>
      </c>
      <c r="Z56" s="177" t="e" cm="1">
        <f t="array" ref="Z56">10^3*(_xlfn.XLOOKUP(Z$8,'Master Data'!$C$2:$W$2,_xlfn.XLOOKUP($A56,'Master Data'!$B$3:$B$122,'Master Data'!$C$3:$W$122))-$B56)</f>
        <v>#N/A</v>
      </c>
      <c r="AA56" s="177" t="e" cm="1">
        <f t="array" ref="AA56">10^3*(_xlfn.XLOOKUP(AA$8,'Master Data'!$C$2:$W$2,_xlfn.XLOOKUP($A56,'Master Data'!$B$3:$B$122,'Master Data'!$C$3:$W$122))-$B56)</f>
        <v>#N/A</v>
      </c>
    </row>
    <row r="57" spans="1:27" s="172" customFormat="1" x14ac:dyDescent="0.25">
      <c r="A57" s="173" t="s">
        <v>106</v>
      </c>
      <c r="B57" s="174">
        <v>60</v>
      </c>
      <c r="C57" s="172" t="b">
        <f>ISNUMBER(_xlfn.XMATCH(A57,'Master Data'!$B$3:$B$122))</f>
        <v>1</v>
      </c>
      <c r="E57" s="175" cm="1">
        <f t="array" ref="E57">10^3*(_xlfn.XLOOKUP(E$8,'Master Data'!$C$2:$W$2,_xlfn.XLOOKUP($A57,'Master Data'!$B$3:$B$122,'Master Data'!$C$3:$W$122))-$B57)</f>
        <v>10000</v>
      </c>
      <c r="F57" s="176" cm="1">
        <f t="array" ref="F57">10^3*(_xlfn.XLOOKUP(F$8,'Master Data'!$C$2:$W$2,_xlfn.XLOOKUP($A57,'Master Data'!$B$3:$B$122,'Master Data'!$C$3:$W$122))-$B57)</f>
        <v>10000</v>
      </c>
      <c r="G57" s="176" cm="1">
        <f t="array" ref="G57">10^3*(_xlfn.XLOOKUP(G$8,'Master Data'!$C$2:$W$2,_xlfn.XLOOKUP($A57,'Master Data'!$B$3:$B$122,'Master Data'!$C$3:$W$122))-$B57)</f>
        <v>10000</v>
      </c>
      <c r="H57" s="176" cm="1">
        <f t="array" ref="H57">10^3*(_xlfn.XLOOKUP(H$8,'Master Data'!$C$2:$W$2,_xlfn.XLOOKUP($A57,'Master Data'!$B$3:$B$122,'Master Data'!$C$3:$W$122))-$B57)</f>
        <v>10000</v>
      </c>
      <c r="I57" s="176" cm="1">
        <f t="array" ref="I57">10^3*(_xlfn.XLOOKUP(I$8,'Master Data'!$C$2:$W$2,_xlfn.XLOOKUP($A57,'Master Data'!$B$3:$B$122,'Master Data'!$C$3:$W$122))-$B57)</f>
        <v>10000</v>
      </c>
      <c r="J57" s="176" cm="1">
        <f t="array" ref="J57">10^3*(_xlfn.XLOOKUP(J$8,'Master Data'!$C$2:$W$2,_xlfn.XLOOKUP($A57,'Master Data'!$B$3:$B$122,'Master Data'!$C$3:$W$122))-$B57)</f>
        <v>10000</v>
      </c>
      <c r="K57" s="176" cm="1">
        <f t="array" ref="K57">10^3*(_xlfn.XLOOKUP(K$8,'Master Data'!$C$2:$W$2,_xlfn.XLOOKUP($A57,'Master Data'!$B$3:$B$122,'Master Data'!$C$3:$W$122))-$B57)</f>
        <v>10000</v>
      </c>
      <c r="L57" s="176" cm="1">
        <f t="array" ref="L57">10^3*(_xlfn.XLOOKUP(L$8,'Master Data'!$C$2:$W$2,_xlfn.XLOOKUP($A57,'Master Data'!$B$3:$B$122,'Master Data'!$C$3:$W$122))-$B57)</f>
        <v>10000</v>
      </c>
      <c r="M57" s="176" cm="1">
        <f t="array" ref="M57">10^3*(_xlfn.XLOOKUP(M$8,'Master Data'!$C$2:$W$2,_xlfn.XLOOKUP($A57,'Master Data'!$B$3:$B$122,'Master Data'!$C$3:$W$122))-$B57)</f>
        <v>10000</v>
      </c>
      <c r="N57" s="176" cm="1">
        <f t="array" ref="N57">10^3*(_xlfn.XLOOKUP(N$8,'Master Data'!$C$2:$W$2,_xlfn.XLOOKUP($A57,'Master Data'!$B$3:$B$122,'Master Data'!$C$3:$W$122))-$B57)</f>
        <v>10000</v>
      </c>
      <c r="O57" s="176" cm="1">
        <f t="array" ref="O57">10^3*(_xlfn.XLOOKUP(O$8,'Master Data'!$C$2:$W$2,_xlfn.XLOOKUP($A57,'Master Data'!$B$3:$B$122,'Master Data'!$C$3:$W$122))-$B57)</f>
        <v>10000</v>
      </c>
      <c r="P57" s="176" cm="1">
        <f t="array" ref="P57">10^3*(_xlfn.XLOOKUP(P$8,'Master Data'!$C$2:$W$2,_xlfn.XLOOKUP($A57,'Master Data'!$B$3:$B$122,'Master Data'!$C$3:$W$122))-$B57)</f>
        <v>10000</v>
      </c>
      <c r="Q57" s="176" cm="1">
        <f t="array" ref="Q57">10^3*(_xlfn.XLOOKUP(Q$8,'Master Data'!$C$2:$W$2,_xlfn.XLOOKUP($A57,'Master Data'!$B$3:$B$122,'Master Data'!$C$3:$W$122))-$B57)</f>
        <v>10000</v>
      </c>
      <c r="R57" s="176" cm="1">
        <f t="array" ref="R57">10^3*(_xlfn.XLOOKUP(R$8,'Master Data'!$C$2:$W$2,_xlfn.XLOOKUP($A57,'Master Data'!$B$3:$B$122,'Master Data'!$C$3:$W$122))-$B57)</f>
        <v>10000</v>
      </c>
      <c r="S57" s="176" cm="1">
        <f t="array" ref="S57">10^3*(_xlfn.XLOOKUP(S$8,'Master Data'!$C$2:$W$2,_xlfn.XLOOKUP($A57,'Master Data'!$B$3:$B$122,'Master Data'!$C$3:$W$122))-$B57)</f>
        <v>10000</v>
      </c>
      <c r="T57" s="176" cm="1">
        <f t="array" ref="T57">10^3*(_xlfn.XLOOKUP(T$8,'Master Data'!$C$2:$W$2,_xlfn.XLOOKUP($A57,'Master Data'!$B$3:$B$122,'Master Data'!$C$3:$W$122))-$B57)</f>
        <v>10000</v>
      </c>
      <c r="U57" s="176" cm="1">
        <f t="array" ref="U57">10^3*(_xlfn.XLOOKUP(U$8,'Master Data'!$C$2:$W$2,_xlfn.XLOOKUP($A57,'Master Data'!$B$3:$B$122,'Master Data'!$C$3:$W$122))-$B57)</f>
        <v>10000</v>
      </c>
      <c r="V57" s="176" cm="1">
        <f t="array" ref="V57">10^3*(_xlfn.XLOOKUP(V$8,'Master Data'!$C$2:$W$2,_xlfn.XLOOKUP($A57,'Master Data'!$B$3:$B$122,'Master Data'!$C$3:$W$122))-$B57)</f>
        <v>10000</v>
      </c>
      <c r="W57" s="176" cm="1">
        <f t="array" ref="W57">10^3*(_xlfn.XLOOKUP(W$8,'Master Data'!$C$2:$W$2,_xlfn.XLOOKUP($A57,'Master Data'!$B$3:$B$122,'Master Data'!$C$3:$W$122))-$B57)</f>
        <v>10000</v>
      </c>
      <c r="X57" s="176" cm="1">
        <f t="array" ref="X57">10^3*(_xlfn.XLOOKUP(X$8,'Master Data'!$C$2:$W$2,_xlfn.XLOOKUP($A57,'Master Data'!$B$3:$B$122,'Master Data'!$C$3:$W$122))-$B57)</f>
        <v>10000</v>
      </c>
      <c r="Y57" s="177" cm="1">
        <f t="array" ref="Y57">10^3*(_xlfn.XLOOKUP(Y$8,'Master Data'!$C$2:$W$2,_xlfn.XLOOKUP($A57,'Master Data'!$B$3:$B$122,'Master Data'!$C$3:$W$122))-$B57)</f>
        <v>10000</v>
      </c>
      <c r="Z57" s="177" t="e" cm="1">
        <f t="array" ref="Z57">10^3*(_xlfn.XLOOKUP(Z$8,'Master Data'!$C$2:$W$2,_xlfn.XLOOKUP($A57,'Master Data'!$B$3:$B$122,'Master Data'!$C$3:$W$122))-$B57)</f>
        <v>#N/A</v>
      </c>
      <c r="AA57" s="177" t="e" cm="1">
        <f t="array" ref="AA57">10^3*(_xlfn.XLOOKUP(AA$8,'Master Data'!$C$2:$W$2,_xlfn.XLOOKUP($A57,'Master Data'!$B$3:$B$122,'Master Data'!$C$3:$W$122))-$B57)</f>
        <v>#N/A</v>
      </c>
    </row>
    <row r="58" spans="1:27" s="172" customFormat="1" x14ac:dyDescent="0.25">
      <c r="A58" s="173" t="s">
        <v>107</v>
      </c>
      <c r="B58" s="174">
        <v>78</v>
      </c>
      <c r="C58" s="172" t="b">
        <f>ISNUMBER(_xlfn.XMATCH(A58,'Master Data'!$B$3:$B$122))</f>
        <v>1</v>
      </c>
      <c r="E58" s="175" cm="1">
        <f t="array" ref="E58">10^3*(_xlfn.XLOOKUP(E$8,'Master Data'!$C$2:$W$2,_xlfn.XLOOKUP($A58,'Master Data'!$B$3:$B$122,'Master Data'!$C$3:$W$122))-$B58)</f>
        <v>7000</v>
      </c>
      <c r="F58" s="176" cm="1">
        <f t="array" ref="F58">10^3*(_xlfn.XLOOKUP(F$8,'Master Data'!$C$2:$W$2,_xlfn.XLOOKUP($A58,'Master Data'!$B$3:$B$122,'Master Data'!$C$3:$W$122))-$B58)</f>
        <v>7000</v>
      </c>
      <c r="G58" s="176" cm="1">
        <f t="array" ref="G58">10^3*(_xlfn.XLOOKUP(G$8,'Master Data'!$C$2:$W$2,_xlfn.XLOOKUP($A58,'Master Data'!$B$3:$B$122,'Master Data'!$C$3:$W$122))-$B58)</f>
        <v>6000</v>
      </c>
      <c r="H58" s="176" cm="1">
        <f t="array" ref="H58">10^3*(_xlfn.XLOOKUP(H$8,'Master Data'!$C$2:$W$2,_xlfn.XLOOKUP($A58,'Master Data'!$B$3:$B$122,'Master Data'!$C$3:$W$122))-$B58)</f>
        <v>6000</v>
      </c>
      <c r="I58" s="176" cm="1">
        <f t="array" ref="I58">10^3*(_xlfn.XLOOKUP(I$8,'Master Data'!$C$2:$W$2,_xlfn.XLOOKUP($A58,'Master Data'!$B$3:$B$122,'Master Data'!$C$3:$W$122))-$B58)</f>
        <v>6000</v>
      </c>
      <c r="J58" s="176" cm="1">
        <f t="array" ref="J58">10^3*(_xlfn.XLOOKUP(J$8,'Master Data'!$C$2:$W$2,_xlfn.XLOOKUP($A58,'Master Data'!$B$3:$B$122,'Master Data'!$C$3:$W$122))-$B58)</f>
        <v>6000</v>
      </c>
      <c r="K58" s="176" cm="1">
        <f t="array" ref="K58">10^3*(_xlfn.XLOOKUP(K$8,'Master Data'!$C$2:$W$2,_xlfn.XLOOKUP($A58,'Master Data'!$B$3:$B$122,'Master Data'!$C$3:$W$122))-$B58)</f>
        <v>6000</v>
      </c>
      <c r="L58" s="176" cm="1">
        <f t="array" ref="L58">10^3*(_xlfn.XLOOKUP(L$8,'Master Data'!$C$2:$W$2,_xlfn.XLOOKUP($A58,'Master Data'!$B$3:$B$122,'Master Data'!$C$3:$W$122))-$B58)</f>
        <v>6000</v>
      </c>
      <c r="M58" s="176" cm="1">
        <f t="array" ref="M58">10^3*(_xlfn.XLOOKUP(M$8,'Master Data'!$C$2:$W$2,_xlfn.XLOOKUP($A58,'Master Data'!$B$3:$B$122,'Master Data'!$C$3:$W$122))-$B58)</f>
        <v>6000</v>
      </c>
      <c r="N58" s="176" cm="1">
        <f t="array" ref="N58">10^3*(_xlfn.XLOOKUP(N$8,'Master Data'!$C$2:$W$2,_xlfn.XLOOKUP($A58,'Master Data'!$B$3:$B$122,'Master Data'!$C$3:$W$122))-$B58)</f>
        <v>6000</v>
      </c>
      <c r="O58" s="176" cm="1">
        <f t="array" ref="O58">10^3*(_xlfn.XLOOKUP(O$8,'Master Data'!$C$2:$W$2,_xlfn.XLOOKUP($A58,'Master Data'!$B$3:$B$122,'Master Data'!$C$3:$W$122))-$B58)</f>
        <v>6000</v>
      </c>
      <c r="P58" s="176" cm="1">
        <f t="array" ref="P58">10^3*(_xlfn.XLOOKUP(P$8,'Master Data'!$C$2:$W$2,_xlfn.XLOOKUP($A58,'Master Data'!$B$3:$B$122,'Master Data'!$C$3:$W$122))-$B58)</f>
        <v>7000</v>
      </c>
      <c r="Q58" s="176" cm="1">
        <f t="array" ref="Q58">10^3*(_xlfn.XLOOKUP(Q$8,'Master Data'!$C$2:$W$2,_xlfn.XLOOKUP($A58,'Master Data'!$B$3:$B$122,'Master Data'!$C$3:$W$122))-$B58)</f>
        <v>7000</v>
      </c>
      <c r="R58" s="176" cm="1">
        <f t="array" ref="R58">10^3*(_xlfn.XLOOKUP(R$8,'Master Data'!$C$2:$W$2,_xlfn.XLOOKUP($A58,'Master Data'!$B$3:$B$122,'Master Data'!$C$3:$W$122))-$B58)</f>
        <v>7000</v>
      </c>
      <c r="S58" s="176" cm="1">
        <f t="array" ref="S58">10^3*(_xlfn.XLOOKUP(S$8,'Master Data'!$C$2:$W$2,_xlfn.XLOOKUP($A58,'Master Data'!$B$3:$B$122,'Master Data'!$C$3:$W$122))-$B58)</f>
        <v>6000</v>
      </c>
      <c r="T58" s="176" cm="1">
        <f t="array" ref="T58">10^3*(_xlfn.XLOOKUP(T$8,'Master Data'!$C$2:$W$2,_xlfn.XLOOKUP($A58,'Master Data'!$B$3:$B$122,'Master Data'!$C$3:$W$122))-$B58)</f>
        <v>7000</v>
      </c>
      <c r="U58" s="176" cm="1">
        <f t="array" ref="U58">10^3*(_xlfn.XLOOKUP(U$8,'Master Data'!$C$2:$W$2,_xlfn.XLOOKUP($A58,'Master Data'!$B$3:$B$122,'Master Data'!$C$3:$W$122))-$B58)</f>
        <v>7000</v>
      </c>
      <c r="V58" s="176" cm="1">
        <f t="array" ref="V58">10^3*(_xlfn.XLOOKUP(V$8,'Master Data'!$C$2:$W$2,_xlfn.XLOOKUP($A58,'Master Data'!$B$3:$B$122,'Master Data'!$C$3:$W$122))-$B58)</f>
        <v>7000</v>
      </c>
      <c r="W58" s="176" cm="1">
        <f t="array" ref="W58">10^3*(_xlfn.XLOOKUP(W$8,'Master Data'!$C$2:$W$2,_xlfn.XLOOKUP($A58,'Master Data'!$B$3:$B$122,'Master Data'!$C$3:$W$122))-$B58)</f>
        <v>6000</v>
      </c>
      <c r="X58" s="176" cm="1">
        <f t="array" ref="X58">10^3*(_xlfn.XLOOKUP(X$8,'Master Data'!$C$2:$W$2,_xlfn.XLOOKUP($A58,'Master Data'!$B$3:$B$122,'Master Data'!$C$3:$W$122))-$B58)</f>
        <v>6000</v>
      </c>
      <c r="Y58" s="177" cm="1">
        <f t="array" ref="Y58">10^3*(_xlfn.XLOOKUP(Y$8,'Master Data'!$C$2:$W$2,_xlfn.XLOOKUP($A58,'Master Data'!$B$3:$B$122,'Master Data'!$C$3:$W$122))-$B58)</f>
        <v>6000</v>
      </c>
      <c r="Z58" s="177" t="e" cm="1">
        <f t="array" ref="Z58">10^3*(_xlfn.XLOOKUP(Z$8,'Master Data'!$C$2:$W$2,_xlfn.XLOOKUP($A58,'Master Data'!$B$3:$B$122,'Master Data'!$C$3:$W$122))-$B58)</f>
        <v>#N/A</v>
      </c>
      <c r="AA58" s="177" t="e" cm="1">
        <f t="array" ref="AA58">10^3*(_xlfn.XLOOKUP(AA$8,'Master Data'!$C$2:$W$2,_xlfn.XLOOKUP($A58,'Master Data'!$B$3:$B$122,'Master Data'!$C$3:$W$122))-$B58)</f>
        <v>#N/A</v>
      </c>
    </row>
    <row r="59" spans="1:27" s="172" customFormat="1" x14ac:dyDescent="0.25">
      <c r="A59" s="173" t="s">
        <v>108</v>
      </c>
      <c r="B59" s="174">
        <v>65</v>
      </c>
      <c r="C59" s="172" t="b">
        <f>ISNUMBER(_xlfn.XMATCH(A59,'Master Data'!$B$3:$B$122))</f>
        <v>1</v>
      </c>
      <c r="E59" s="175" cm="1">
        <f t="array" ref="E59">10^3*(_xlfn.XLOOKUP(E$8,'Master Data'!$C$2:$W$2,_xlfn.XLOOKUP($A59,'Master Data'!$B$3:$B$122,'Master Data'!$C$3:$W$122))-$B59)</f>
        <v>10000</v>
      </c>
      <c r="F59" s="176" cm="1">
        <f t="array" ref="F59">10^3*(_xlfn.XLOOKUP(F$8,'Master Data'!$C$2:$W$2,_xlfn.XLOOKUP($A59,'Master Data'!$B$3:$B$122,'Master Data'!$C$3:$W$122))-$B59)</f>
        <v>10000</v>
      </c>
      <c r="G59" s="176" cm="1">
        <f t="array" ref="G59">10^3*(_xlfn.XLOOKUP(G$8,'Master Data'!$C$2:$W$2,_xlfn.XLOOKUP($A59,'Master Data'!$B$3:$B$122,'Master Data'!$C$3:$W$122))-$B59)</f>
        <v>10000</v>
      </c>
      <c r="H59" s="176" cm="1">
        <f t="array" ref="H59">10^3*(_xlfn.XLOOKUP(H$8,'Master Data'!$C$2:$W$2,_xlfn.XLOOKUP($A59,'Master Data'!$B$3:$B$122,'Master Data'!$C$3:$W$122))-$B59)</f>
        <v>10000</v>
      </c>
      <c r="I59" s="176" cm="1">
        <f t="array" ref="I59">10^3*(_xlfn.XLOOKUP(I$8,'Master Data'!$C$2:$W$2,_xlfn.XLOOKUP($A59,'Master Data'!$B$3:$B$122,'Master Data'!$C$3:$W$122))-$B59)</f>
        <v>10000</v>
      </c>
      <c r="J59" s="176" cm="1">
        <f t="array" ref="J59">10^3*(_xlfn.XLOOKUP(J$8,'Master Data'!$C$2:$W$2,_xlfn.XLOOKUP($A59,'Master Data'!$B$3:$B$122,'Master Data'!$C$3:$W$122))-$B59)</f>
        <v>10000</v>
      </c>
      <c r="K59" s="176" cm="1">
        <f t="array" ref="K59">10^3*(_xlfn.XLOOKUP(K$8,'Master Data'!$C$2:$W$2,_xlfn.XLOOKUP($A59,'Master Data'!$B$3:$B$122,'Master Data'!$C$3:$W$122))-$B59)</f>
        <v>10000</v>
      </c>
      <c r="L59" s="176" cm="1">
        <f t="array" ref="L59">10^3*(_xlfn.XLOOKUP(L$8,'Master Data'!$C$2:$W$2,_xlfn.XLOOKUP($A59,'Master Data'!$B$3:$B$122,'Master Data'!$C$3:$W$122))-$B59)</f>
        <v>10000</v>
      </c>
      <c r="M59" s="176" cm="1">
        <f t="array" ref="M59">10^3*(_xlfn.XLOOKUP(M$8,'Master Data'!$C$2:$W$2,_xlfn.XLOOKUP($A59,'Master Data'!$B$3:$B$122,'Master Data'!$C$3:$W$122))-$B59)</f>
        <v>10000</v>
      </c>
      <c r="N59" s="176" cm="1">
        <f t="array" ref="N59">10^3*(_xlfn.XLOOKUP(N$8,'Master Data'!$C$2:$W$2,_xlfn.XLOOKUP($A59,'Master Data'!$B$3:$B$122,'Master Data'!$C$3:$W$122))-$B59)</f>
        <v>10000</v>
      </c>
      <c r="O59" s="176" cm="1">
        <f t="array" ref="O59">10^3*(_xlfn.XLOOKUP(O$8,'Master Data'!$C$2:$W$2,_xlfn.XLOOKUP($A59,'Master Data'!$B$3:$B$122,'Master Data'!$C$3:$W$122))-$B59)</f>
        <v>10000</v>
      </c>
      <c r="P59" s="176" cm="1">
        <f t="array" ref="P59">10^3*(_xlfn.XLOOKUP(P$8,'Master Data'!$C$2:$W$2,_xlfn.XLOOKUP($A59,'Master Data'!$B$3:$B$122,'Master Data'!$C$3:$W$122))-$B59)</f>
        <v>10000</v>
      </c>
      <c r="Q59" s="176" cm="1">
        <f t="array" ref="Q59">10^3*(_xlfn.XLOOKUP(Q$8,'Master Data'!$C$2:$W$2,_xlfn.XLOOKUP($A59,'Master Data'!$B$3:$B$122,'Master Data'!$C$3:$W$122))-$B59)</f>
        <v>10000</v>
      </c>
      <c r="R59" s="176" cm="1">
        <f t="array" ref="R59">10^3*(_xlfn.XLOOKUP(R$8,'Master Data'!$C$2:$W$2,_xlfn.XLOOKUP($A59,'Master Data'!$B$3:$B$122,'Master Data'!$C$3:$W$122))-$B59)</f>
        <v>10000</v>
      </c>
      <c r="S59" s="176" cm="1">
        <f t="array" ref="S59">10^3*(_xlfn.XLOOKUP(S$8,'Master Data'!$C$2:$W$2,_xlfn.XLOOKUP($A59,'Master Data'!$B$3:$B$122,'Master Data'!$C$3:$W$122))-$B59)</f>
        <v>10000</v>
      </c>
      <c r="T59" s="176" cm="1">
        <f t="array" ref="T59">10^3*(_xlfn.XLOOKUP(T$8,'Master Data'!$C$2:$W$2,_xlfn.XLOOKUP($A59,'Master Data'!$B$3:$B$122,'Master Data'!$C$3:$W$122))-$B59)</f>
        <v>10000</v>
      </c>
      <c r="U59" s="176" cm="1">
        <f t="array" ref="U59">10^3*(_xlfn.XLOOKUP(U$8,'Master Data'!$C$2:$W$2,_xlfn.XLOOKUP($A59,'Master Data'!$B$3:$B$122,'Master Data'!$C$3:$W$122))-$B59)</f>
        <v>10000</v>
      </c>
      <c r="V59" s="176" cm="1">
        <f t="array" ref="V59">10^3*(_xlfn.XLOOKUP(V$8,'Master Data'!$C$2:$W$2,_xlfn.XLOOKUP($A59,'Master Data'!$B$3:$B$122,'Master Data'!$C$3:$W$122))-$B59)</f>
        <v>10000</v>
      </c>
      <c r="W59" s="176" cm="1">
        <f t="array" ref="W59">10^3*(_xlfn.XLOOKUP(W$8,'Master Data'!$C$2:$W$2,_xlfn.XLOOKUP($A59,'Master Data'!$B$3:$B$122,'Master Data'!$C$3:$W$122))-$B59)</f>
        <v>10000</v>
      </c>
      <c r="X59" s="176" cm="1">
        <f t="array" ref="X59">10^3*(_xlfn.XLOOKUP(X$8,'Master Data'!$C$2:$W$2,_xlfn.XLOOKUP($A59,'Master Data'!$B$3:$B$122,'Master Data'!$C$3:$W$122))-$B59)</f>
        <v>10000</v>
      </c>
      <c r="Y59" s="177" cm="1">
        <f t="array" ref="Y59">10^3*(_xlfn.XLOOKUP(Y$8,'Master Data'!$C$2:$W$2,_xlfn.XLOOKUP($A59,'Master Data'!$B$3:$B$122,'Master Data'!$C$3:$W$122))-$B59)</f>
        <v>10000</v>
      </c>
      <c r="Z59" s="177" t="e" cm="1">
        <f t="array" ref="Z59">10^3*(_xlfn.XLOOKUP(Z$8,'Master Data'!$C$2:$W$2,_xlfn.XLOOKUP($A59,'Master Data'!$B$3:$B$122,'Master Data'!$C$3:$W$122))-$B59)</f>
        <v>#N/A</v>
      </c>
      <c r="AA59" s="177" t="e" cm="1">
        <f t="array" ref="AA59">10^3*(_xlfn.XLOOKUP(AA$8,'Master Data'!$C$2:$W$2,_xlfn.XLOOKUP($A59,'Master Data'!$B$3:$B$122,'Master Data'!$C$3:$W$122))-$B59)</f>
        <v>#N/A</v>
      </c>
    </row>
    <row r="60" spans="1:27" s="172" customFormat="1" x14ac:dyDescent="0.25">
      <c r="A60" s="173" t="s">
        <v>109</v>
      </c>
      <c r="B60" s="174">
        <v>78</v>
      </c>
      <c r="C60" s="172" t="b">
        <f>ISNUMBER(_xlfn.XMATCH(A60,'Master Data'!$B$3:$B$122))</f>
        <v>1</v>
      </c>
      <c r="E60" s="175" cm="1">
        <f t="array" ref="E60">10^3*(_xlfn.XLOOKUP(E$8,'Master Data'!$C$2:$W$2,_xlfn.XLOOKUP($A60,'Master Data'!$B$3:$B$122,'Master Data'!$C$3:$W$122))-$B60)</f>
        <v>7000</v>
      </c>
      <c r="F60" s="176" cm="1">
        <f t="array" ref="F60">10^3*(_xlfn.XLOOKUP(F$8,'Master Data'!$C$2:$W$2,_xlfn.XLOOKUP($A60,'Master Data'!$B$3:$B$122,'Master Data'!$C$3:$W$122))-$B60)</f>
        <v>7000</v>
      </c>
      <c r="G60" s="176" cm="1">
        <f t="array" ref="G60">10^3*(_xlfn.XLOOKUP(G$8,'Master Data'!$C$2:$W$2,_xlfn.XLOOKUP($A60,'Master Data'!$B$3:$B$122,'Master Data'!$C$3:$W$122))-$B60)</f>
        <v>6000</v>
      </c>
      <c r="H60" s="176" cm="1">
        <f t="array" ref="H60">10^3*(_xlfn.XLOOKUP(H$8,'Master Data'!$C$2:$W$2,_xlfn.XLOOKUP($A60,'Master Data'!$B$3:$B$122,'Master Data'!$C$3:$W$122))-$B60)</f>
        <v>6000</v>
      </c>
      <c r="I60" s="176" cm="1">
        <f t="array" ref="I60">10^3*(_xlfn.XLOOKUP(I$8,'Master Data'!$C$2:$W$2,_xlfn.XLOOKUP($A60,'Master Data'!$B$3:$B$122,'Master Data'!$C$3:$W$122))-$B60)</f>
        <v>6000</v>
      </c>
      <c r="J60" s="176" cm="1">
        <f t="array" ref="J60">10^3*(_xlfn.XLOOKUP(J$8,'Master Data'!$C$2:$W$2,_xlfn.XLOOKUP($A60,'Master Data'!$B$3:$B$122,'Master Data'!$C$3:$W$122))-$B60)</f>
        <v>6000</v>
      </c>
      <c r="K60" s="176" cm="1">
        <f t="array" ref="K60">10^3*(_xlfn.XLOOKUP(K$8,'Master Data'!$C$2:$W$2,_xlfn.XLOOKUP($A60,'Master Data'!$B$3:$B$122,'Master Data'!$C$3:$W$122))-$B60)</f>
        <v>6000</v>
      </c>
      <c r="L60" s="176" cm="1">
        <f t="array" ref="L60">10^3*(_xlfn.XLOOKUP(L$8,'Master Data'!$C$2:$W$2,_xlfn.XLOOKUP($A60,'Master Data'!$B$3:$B$122,'Master Data'!$C$3:$W$122))-$B60)</f>
        <v>6000</v>
      </c>
      <c r="M60" s="176" cm="1">
        <f t="array" ref="M60">10^3*(_xlfn.XLOOKUP(M$8,'Master Data'!$C$2:$W$2,_xlfn.XLOOKUP($A60,'Master Data'!$B$3:$B$122,'Master Data'!$C$3:$W$122))-$B60)</f>
        <v>6000</v>
      </c>
      <c r="N60" s="176" cm="1">
        <f t="array" ref="N60">10^3*(_xlfn.XLOOKUP(N$8,'Master Data'!$C$2:$W$2,_xlfn.XLOOKUP($A60,'Master Data'!$B$3:$B$122,'Master Data'!$C$3:$W$122))-$B60)</f>
        <v>6000</v>
      </c>
      <c r="O60" s="176" cm="1">
        <f t="array" ref="O60">10^3*(_xlfn.XLOOKUP(O$8,'Master Data'!$C$2:$W$2,_xlfn.XLOOKUP($A60,'Master Data'!$B$3:$B$122,'Master Data'!$C$3:$W$122))-$B60)</f>
        <v>6000</v>
      </c>
      <c r="P60" s="176" cm="1">
        <f t="array" ref="P60">10^3*(_xlfn.XLOOKUP(P$8,'Master Data'!$C$2:$W$2,_xlfn.XLOOKUP($A60,'Master Data'!$B$3:$B$122,'Master Data'!$C$3:$W$122))-$B60)</f>
        <v>7000</v>
      </c>
      <c r="Q60" s="176" cm="1">
        <f t="array" ref="Q60">10^3*(_xlfn.XLOOKUP(Q$8,'Master Data'!$C$2:$W$2,_xlfn.XLOOKUP($A60,'Master Data'!$B$3:$B$122,'Master Data'!$C$3:$W$122))-$B60)</f>
        <v>7000</v>
      </c>
      <c r="R60" s="176" cm="1">
        <f t="array" ref="R60">10^3*(_xlfn.XLOOKUP(R$8,'Master Data'!$C$2:$W$2,_xlfn.XLOOKUP($A60,'Master Data'!$B$3:$B$122,'Master Data'!$C$3:$W$122))-$B60)</f>
        <v>7000</v>
      </c>
      <c r="S60" s="176" cm="1">
        <f t="array" ref="S60">10^3*(_xlfn.XLOOKUP(S$8,'Master Data'!$C$2:$W$2,_xlfn.XLOOKUP($A60,'Master Data'!$B$3:$B$122,'Master Data'!$C$3:$W$122))-$B60)</f>
        <v>6000</v>
      </c>
      <c r="T60" s="176" cm="1">
        <f t="array" ref="T60">10^3*(_xlfn.XLOOKUP(T$8,'Master Data'!$C$2:$W$2,_xlfn.XLOOKUP($A60,'Master Data'!$B$3:$B$122,'Master Data'!$C$3:$W$122))-$B60)</f>
        <v>7000</v>
      </c>
      <c r="U60" s="176" cm="1">
        <f t="array" ref="U60">10^3*(_xlfn.XLOOKUP(U$8,'Master Data'!$C$2:$W$2,_xlfn.XLOOKUP($A60,'Master Data'!$B$3:$B$122,'Master Data'!$C$3:$W$122))-$B60)</f>
        <v>7000</v>
      </c>
      <c r="V60" s="176" cm="1">
        <f t="array" ref="V60">10^3*(_xlfn.XLOOKUP(V$8,'Master Data'!$C$2:$W$2,_xlfn.XLOOKUP($A60,'Master Data'!$B$3:$B$122,'Master Data'!$C$3:$W$122))-$B60)</f>
        <v>7000</v>
      </c>
      <c r="W60" s="176" cm="1">
        <f t="array" ref="W60">10^3*(_xlfn.XLOOKUP(W$8,'Master Data'!$C$2:$W$2,_xlfn.XLOOKUP($A60,'Master Data'!$B$3:$B$122,'Master Data'!$C$3:$W$122))-$B60)</f>
        <v>6000</v>
      </c>
      <c r="X60" s="176" cm="1">
        <f t="array" ref="X60">10^3*(_xlfn.XLOOKUP(X$8,'Master Data'!$C$2:$W$2,_xlfn.XLOOKUP($A60,'Master Data'!$B$3:$B$122,'Master Data'!$C$3:$W$122))-$B60)</f>
        <v>6000</v>
      </c>
      <c r="Y60" s="177" cm="1">
        <f t="array" ref="Y60">10^3*(_xlfn.XLOOKUP(Y$8,'Master Data'!$C$2:$W$2,_xlfn.XLOOKUP($A60,'Master Data'!$B$3:$B$122,'Master Data'!$C$3:$W$122))-$B60)</f>
        <v>6000</v>
      </c>
      <c r="Z60" s="177" t="e" cm="1">
        <f t="array" ref="Z60">10^3*(_xlfn.XLOOKUP(Z$8,'Master Data'!$C$2:$W$2,_xlfn.XLOOKUP($A60,'Master Data'!$B$3:$B$122,'Master Data'!$C$3:$W$122))-$B60)</f>
        <v>#N/A</v>
      </c>
      <c r="AA60" s="177" t="e" cm="1">
        <f t="array" ref="AA60">10^3*(_xlfn.XLOOKUP(AA$8,'Master Data'!$C$2:$W$2,_xlfn.XLOOKUP($A60,'Master Data'!$B$3:$B$122,'Master Data'!$C$3:$W$122))-$B60)</f>
        <v>#N/A</v>
      </c>
    </row>
    <row r="61" spans="1:27" s="172" customFormat="1" x14ac:dyDescent="0.25">
      <c r="A61" s="173" t="s">
        <v>110</v>
      </c>
      <c r="B61" s="174">
        <v>65</v>
      </c>
      <c r="C61" s="172" t="b">
        <f>ISNUMBER(_xlfn.XMATCH(A61,'Master Data'!$B$3:$B$122))</f>
        <v>1</v>
      </c>
      <c r="E61" s="175" cm="1">
        <f t="array" ref="E61">10^3*(_xlfn.XLOOKUP(E$8,'Master Data'!$C$2:$W$2,_xlfn.XLOOKUP($A61,'Master Data'!$B$3:$B$122,'Master Data'!$C$3:$W$122))-$B61)</f>
        <v>10000</v>
      </c>
      <c r="F61" s="176" cm="1">
        <f t="array" ref="F61">10^3*(_xlfn.XLOOKUP(F$8,'Master Data'!$C$2:$W$2,_xlfn.XLOOKUP($A61,'Master Data'!$B$3:$B$122,'Master Data'!$C$3:$W$122))-$B61)</f>
        <v>10000</v>
      </c>
      <c r="G61" s="176" cm="1">
        <f t="array" ref="G61">10^3*(_xlfn.XLOOKUP(G$8,'Master Data'!$C$2:$W$2,_xlfn.XLOOKUP($A61,'Master Data'!$B$3:$B$122,'Master Data'!$C$3:$W$122))-$B61)</f>
        <v>10000</v>
      </c>
      <c r="H61" s="176" cm="1">
        <f t="array" ref="H61">10^3*(_xlfn.XLOOKUP(H$8,'Master Data'!$C$2:$W$2,_xlfn.XLOOKUP($A61,'Master Data'!$B$3:$B$122,'Master Data'!$C$3:$W$122))-$B61)</f>
        <v>10000</v>
      </c>
      <c r="I61" s="176" cm="1">
        <f t="array" ref="I61">10^3*(_xlfn.XLOOKUP(I$8,'Master Data'!$C$2:$W$2,_xlfn.XLOOKUP($A61,'Master Data'!$B$3:$B$122,'Master Data'!$C$3:$W$122))-$B61)</f>
        <v>10000</v>
      </c>
      <c r="J61" s="176" cm="1">
        <f t="array" ref="J61">10^3*(_xlfn.XLOOKUP(J$8,'Master Data'!$C$2:$W$2,_xlfn.XLOOKUP($A61,'Master Data'!$B$3:$B$122,'Master Data'!$C$3:$W$122))-$B61)</f>
        <v>10000</v>
      </c>
      <c r="K61" s="176" cm="1">
        <f t="array" ref="K61">10^3*(_xlfn.XLOOKUP(K$8,'Master Data'!$C$2:$W$2,_xlfn.XLOOKUP($A61,'Master Data'!$B$3:$B$122,'Master Data'!$C$3:$W$122))-$B61)</f>
        <v>10000</v>
      </c>
      <c r="L61" s="176" cm="1">
        <f t="array" ref="L61">10^3*(_xlfn.XLOOKUP(L$8,'Master Data'!$C$2:$W$2,_xlfn.XLOOKUP($A61,'Master Data'!$B$3:$B$122,'Master Data'!$C$3:$W$122))-$B61)</f>
        <v>10000</v>
      </c>
      <c r="M61" s="176" cm="1">
        <f t="array" ref="M61">10^3*(_xlfn.XLOOKUP(M$8,'Master Data'!$C$2:$W$2,_xlfn.XLOOKUP($A61,'Master Data'!$B$3:$B$122,'Master Data'!$C$3:$W$122))-$B61)</f>
        <v>10000</v>
      </c>
      <c r="N61" s="176" cm="1">
        <f t="array" ref="N61">10^3*(_xlfn.XLOOKUP(N$8,'Master Data'!$C$2:$W$2,_xlfn.XLOOKUP($A61,'Master Data'!$B$3:$B$122,'Master Data'!$C$3:$W$122))-$B61)</f>
        <v>10000</v>
      </c>
      <c r="O61" s="176" cm="1">
        <f t="array" ref="O61">10^3*(_xlfn.XLOOKUP(O$8,'Master Data'!$C$2:$W$2,_xlfn.XLOOKUP($A61,'Master Data'!$B$3:$B$122,'Master Data'!$C$3:$W$122))-$B61)</f>
        <v>10000</v>
      </c>
      <c r="P61" s="176" cm="1">
        <f t="array" ref="P61">10^3*(_xlfn.XLOOKUP(P$8,'Master Data'!$C$2:$W$2,_xlfn.XLOOKUP($A61,'Master Data'!$B$3:$B$122,'Master Data'!$C$3:$W$122))-$B61)</f>
        <v>10000</v>
      </c>
      <c r="Q61" s="176" cm="1">
        <f t="array" ref="Q61">10^3*(_xlfn.XLOOKUP(Q$8,'Master Data'!$C$2:$W$2,_xlfn.XLOOKUP($A61,'Master Data'!$B$3:$B$122,'Master Data'!$C$3:$W$122))-$B61)</f>
        <v>10000</v>
      </c>
      <c r="R61" s="176" cm="1">
        <f t="array" ref="R61">10^3*(_xlfn.XLOOKUP(R$8,'Master Data'!$C$2:$W$2,_xlfn.XLOOKUP($A61,'Master Data'!$B$3:$B$122,'Master Data'!$C$3:$W$122))-$B61)</f>
        <v>10000</v>
      </c>
      <c r="S61" s="176" cm="1">
        <f t="array" ref="S61">10^3*(_xlfn.XLOOKUP(S$8,'Master Data'!$C$2:$W$2,_xlfn.XLOOKUP($A61,'Master Data'!$B$3:$B$122,'Master Data'!$C$3:$W$122))-$B61)</f>
        <v>10000</v>
      </c>
      <c r="T61" s="176" cm="1">
        <f t="array" ref="T61">10^3*(_xlfn.XLOOKUP(T$8,'Master Data'!$C$2:$W$2,_xlfn.XLOOKUP($A61,'Master Data'!$B$3:$B$122,'Master Data'!$C$3:$W$122))-$B61)</f>
        <v>10000</v>
      </c>
      <c r="U61" s="176" cm="1">
        <f t="array" ref="U61">10^3*(_xlfn.XLOOKUP(U$8,'Master Data'!$C$2:$W$2,_xlfn.XLOOKUP($A61,'Master Data'!$B$3:$B$122,'Master Data'!$C$3:$W$122))-$B61)</f>
        <v>10000</v>
      </c>
      <c r="V61" s="176" cm="1">
        <f t="array" ref="V61">10^3*(_xlfn.XLOOKUP(V$8,'Master Data'!$C$2:$W$2,_xlfn.XLOOKUP($A61,'Master Data'!$B$3:$B$122,'Master Data'!$C$3:$W$122))-$B61)</f>
        <v>10000</v>
      </c>
      <c r="W61" s="176" cm="1">
        <f t="array" ref="W61">10^3*(_xlfn.XLOOKUP(W$8,'Master Data'!$C$2:$W$2,_xlfn.XLOOKUP($A61,'Master Data'!$B$3:$B$122,'Master Data'!$C$3:$W$122))-$B61)</f>
        <v>10000</v>
      </c>
      <c r="X61" s="176" cm="1">
        <f t="array" ref="X61">10^3*(_xlfn.XLOOKUP(X$8,'Master Data'!$C$2:$W$2,_xlfn.XLOOKUP($A61,'Master Data'!$B$3:$B$122,'Master Data'!$C$3:$W$122))-$B61)</f>
        <v>10000</v>
      </c>
      <c r="Y61" s="177" cm="1">
        <f t="array" ref="Y61">10^3*(_xlfn.XLOOKUP(Y$8,'Master Data'!$C$2:$W$2,_xlfn.XLOOKUP($A61,'Master Data'!$B$3:$B$122,'Master Data'!$C$3:$W$122))-$B61)</f>
        <v>10000</v>
      </c>
      <c r="Z61" s="177" t="e" cm="1">
        <f t="array" ref="Z61">10^3*(_xlfn.XLOOKUP(Z$8,'Master Data'!$C$2:$W$2,_xlfn.XLOOKUP($A61,'Master Data'!$B$3:$B$122,'Master Data'!$C$3:$W$122))-$B61)</f>
        <v>#N/A</v>
      </c>
      <c r="AA61" s="177" t="e" cm="1">
        <f t="array" ref="AA61">10^3*(_xlfn.XLOOKUP(AA$8,'Master Data'!$C$2:$W$2,_xlfn.XLOOKUP($A61,'Master Data'!$B$3:$B$122,'Master Data'!$C$3:$W$122))-$B61)</f>
        <v>#N/A</v>
      </c>
    </row>
    <row r="62" spans="1:27" s="172" customFormat="1" x14ac:dyDescent="0.25">
      <c r="A62" s="173" t="s">
        <v>50</v>
      </c>
      <c r="B62" s="174">
        <v>58</v>
      </c>
      <c r="C62" s="172" t="b">
        <f>ISNUMBER(_xlfn.XMATCH(A62,'Master Data'!$B$3:$B$122))</f>
        <v>1</v>
      </c>
      <c r="E62" s="175" cm="1">
        <f t="array" ref="E62">10^3*(_xlfn.XLOOKUP(E$8,'Master Data'!$C$2:$W$2,_xlfn.XLOOKUP($A62,'Master Data'!$B$3:$B$122,'Master Data'!$C$3:$W$122))-$B62)</f>
        <v>9000</v>
      </c>
      <c r="F62" s="176" cm="1">
        <f t="array" ref="F62">10^3*(_xlfn.XLOOKUP(F$8,'Master Data'!$C$2:$W$2,_xlfn.XLOOKUP($A62,'Master Data'!$B$3:$B$122,'Master Data'!$C$3:$W$122))-$B62)</f>
        <v>9000</v>
      </c>
      <c r="G62" s="176" cm="1">
        <f t="array" ref="G62">10^3*(_xlfn.XLOOKUP(G$8,'Master Data'!$C$2:$W$2,_xlfn.XLOOKUP($A62,'Master Data'!$B$3:$B$122,'Master Data'!$C$3:$W$122))-$B62)</f>
        <v>5000</v>
      </c>
      <c r="H62" s="176" cm="1">
        <f t="array" ref="H62">10^3*(_xlfn.XLOOKUP(H$8,'Master Data'!$C$2:$W$2,_xlfn.XLOOKUP($A62,'Master Data'!$B$3:$B$122,'Master Data'!$C$3:$W$122))-$B62)</f>
        <v>5000</v>
      </c>
      <c r="I62" s="176" cm="1">
        <f t="array" ref="I62">10^3*(_xlfn.XLOOKUP(I$8,'Master Data'!$C$2:$W$2,_xlfn.XLOOKUP($A62,'Master Data'!$B$3:$B$122,'Master Data'!$C$3:$W$122))-$B62)</f>
        <v>5000</v>
      </c>
      <c r="J62" s="176" cm="1">
        <f t="array" ref="J62">10^3*(_xlfn.XLOOKUP(J$8,'Master Data'!$C$2:$W$2,_xlfn.XLOOKUP($A62,'Master Data'!$B$3:$B$122,'Master Data'!$C$3:$W$122))-$B62)</f>
        <v>5000</v>
      </c>
      <c r="K62" s="176" cm="1">
        <f t="array" ref="K62">10^3*(_xlfn.XLOOKUP(K$8,'Master Data'!$C$2:$W$2,_xlfn.XLOOKUP($A62,'Master Data'!$B$3:$B$122,'Master Data'!$C$3:$W$122))-$B62)</f>
        <v>5000</v>
      </c>
      <c r="L62" s="176" cm="1">
        <f t="array" ref="L62">10^3*(_xlfn.XLOOKUP(L$8,'Master Data'!$C$2:$W$2,_xlfn.XLOOKUP($A62,'Master Data'!$B$3:$B$122,'Master Data'!$C$3:$W$122))-$B62)</f>
        <v>5000</v>
      </c>
      <c r="M62" s="176" cm="1">
        <f t="array" ref="M62">10^3*(_xlfn.XLOOKUP(M$8,'Master Data'!$C$2:$W$2,_xlfn.XLOOKUP($A62,'Master Data'!$B$3:$B$122,'Master Data'!$C$3:$W$122))-$B62)</f>
        <v>5000</v>
      </c>
      <c r="N62" s="176" cm="1">
        <f t="array" ref="N62">10^3*(_xlfn.XLOOKUP(N$8,'Master Data'!$C$2:$W$2,_xlfn.XLOOKUP($A62,'Master Data'!$B$3:$B$122,'Master Data'!$C$3:$W$122))-$B62)</f>
        <v>5000</v>
      </c>
      <c r="O62" s="176" cm="1">
        <f t="array" ref="O62">10^3*(_xlfn.XLOOKUP(O$8,'Master Data'!$C$2:$W$2,_xlfn.XLOOKUP($A62,'Master Data'!$B$3:$B$122,'Master Data'!$C$3:$W$122))-$B62)</f>
        <v>5000</v>
      </c>
      <c r="P62" s="176" cm="1">
        <f t="array" ref="P62">10^3*(_xlfn.XLOOKUP(P$8,'Master Data'!$C$2:$W$2,_xlfn.XLOOKUP($A62,'Master Data'!$B$3:$B$122,'Master Data'!$C$3:$W$122))-$B62)</f>
        <v>9000</v>
      </c>
      <c r="Q62" s="176" cm="1">
        <f t="array" ref="Q62">10^3*(_xlfn.XLOOKUP(Q$8,'Master Data'!$C$2:$W$2,_xlfn.XLOOKUP($A62,'Master Data'!$B$3:$B$122,'Master Data'!$C$3:$W$122))-$B62)</f>
        <v>9000</v>
      </c>
      <c r="R62" s="176" cm="1">
        <f t="array" ref="R62">10^3*(_xlfn.XLOOKUP(R$8,'Master Data'!$C$2:$W$2,_xlfn.XLOOKUP($A62,'Master Data'!$B$3:$B$122,'Master Data'!$C$3:$W$122))-$B62)</f>
        <v>7000</v>
      </c>
      <c r="S62" s="176" cm="1">
        <f t="array" ref="S62">10^3*(_xlfn.XLOOKUP(S$8,'Master Data'!$C$2:$W$2,_xlfn.XLOOKUP($A62,'Master Data'!$B$3:$B$122,'Master Data'!$C$3:$W$122))-$B62)</f>
        <v>5000</v>
      </c>
      <c r="T62" s="176" cm="1">
        <f t="array" ref="T62">10^3*(_xlfn.XLOOKUP(T$8,'Master Data'!$C$2:$W$2,_xlfn.XLOOKUP($A62,'Master Data'!$B$3:$B$122,'Master Data'!$C$3:$W$122))-$B62)</f>
        <v>9000</v>
      </c>
      <c r="U62" s="176" cm="1">
        <f t="array" ref="U62">10^3*(_xlfn.XLOOKUP(U$8,'Master Data'!$C$2:$W$2,_xlfn.XLOOKUP($A62,'Master Data'!$B$3:$B$122,'Master Data'!$C$3:$W$122))-$B62)</f>
        <v>9000</v>
      </c>
      <c r="V62" s="176" cm="1">
        <f t="array" ref="V62">10^3*(_xlfn.XLOOKUP(V$8,'Master Data'!$C$2:$W$2,_xlfn.XLOOKUP($A62,'Master Data'!$B$3:$B$122,'Master Data'!$C$3:$W$122))-$B62)</f>
        <v>7000</v>
      </c>
      <c r="W62" s="176" cm="1">
        <f t="array" ref="W62">10^3*(_xlfn.XLOOKUP(W$8,'Master Data'!$C$2:$W$2,_xlfn.XLOOKUP($A62,'Master Data'!$B$3:$B$122,'Master Data'!$C$3:$W$122))-$B62)</f>
        <v>5000</v>
      </c>
      <c r="X62" s="176" cm="1">
        <f t="array" ref="X62">10^3*(_xlfn.XLOOKUP(X$8,'Master Data'!$C$2:$W$2,_xlfn.XLOOKUP($A62,'Master Data'!$B$3:$B$122,'Master Data'!$C$3:$W$122))-$B62)</f>
        <v>5000</v>
      </c>
      <c r="Y62" s="177" cm="1">
        <f t="array" ref="Y62">10^3*(_xlfn.XLOOKUP(Y$8,'Master Data'!$C$2:$W$2,_xlfn.XLOOKUP($A62,'Master Data'!$B$3:$B$122,'Master Data'!$C$3:$W$122))-$B62)</f>
        <v>5000</v>
      </c>
      <c r="Z62" s="177" t="e" cm="1">
        <f t="array" ref="Z62">10^3*(_xlfn.XLOOKUP(Z$8,'Master Data'!$C$2:$W$2,_xlfn.XLOOKUP($A62,'Master Data'!$B$3:$B$122,'Master Data'!$C$3:$W$122))-$B62)</f>
        <v>#N/A</v>
      </c>
      <c r="AA62" s="177" t="e" cm="1">
        <f t="array" ref="AA62">10^3*(_xlfn.XLOOKUP(AA$8,'Master Data'!$C$2:$W$2,_xlfn.XLOOKUP($A62,'Master Data'!$B$3:$B$122,'Master Data'!$C$3:$W$122))-$B62)</f>
        <v>#N/A</v>
      </c>
    </row>
    <row r="63" spans="1:27" s="172" customFormat="1" x14ac:dyDescent="0.25">
      <c r="A63" s="173" t="s">
        <v>37</v>
      </c>
      <c r="B63" s="174">
        <v>68</v>
      </c>
      <c r="C63" s="172" t="b">
        <f>ISNUMBER(_xlfn.XMATCH(A63,'Master Data'!$B$3:$B$122))</f>
        <v>1</v>
      </c>
      <c r="E63" s="175" cm="1">
        <f t="array" ref="E63">10^3*(_xlfn.XLOOKUP(E$8,'Master Data'!$C$2:$W$2,_xlfn.XLOOKUP($A63,'Master Data'!$B$3:$B$122,'Master Data'!$C$3:$W$122))-$B63)</f>
        <v>7000</v>
      </c>
      <c r="F63" s="176" cm="1">
        <f t="array" ref="F63">10^3*(_xlfn.XLOOKUP(F$8,'Master Data'!$C$2:$W$2,_xlfn.XLOOKUP($A63,'Master Data'!$B$3:$B$122,'Master Data'!$C$3:$W$122))-$B63)</f>
        <v>7000</v>
      </c>
      <c r="G63" s="176" cm="1">
        <f t="array" ref="G63">10^3*(_xlfn.XLOOKUP(G$8,'Master Data'!$C$2:$W$2,_xlfn.XLOOKUP($A63,'Master Data'!$B$3:$B$122,'Master Data'!$C$3:$W$122))-$B63)</f>
        <v>5000</v>
      </c>
      <c r="H63" s="176" cm="1">
        <f t="array" ref="H63">10^3*(_xlfn.XLOOKUP(H$8,'Master Data'!$C$2:$W$2,_xlfn.XLOOKUP($A63,'Master Data'!$B$3:$B$122,'Master Data'!$C$3:$W$122))-$B63)</f>
        <v>5000</v>
      </c>
      <c r="I63" s="176" cm="1">
        <f t="array" ref="I63">10^3*(_xlfn.XLOOKUP(I$8,'Master Data'!$C$2:$W$2,_xlfn.XLOOKUP($A63,'Master Data'!$B$3:$B$122,'Master Data'!$C$3:$W$122))-$B63)</f>
        <v>5000</v>
      </c>
      <c r="J63" s="176" cm="1">
        <f t="array" ref="J63">10^3*(_xlfn.XLOOKUP(J$8,'Master Data'!$C$2:$W$2,_xlfn.XLOOKUP($A63,'Master Data'!$B$3:$B$122,'Master Data'!$C$3:$W$122))-$B63)</f>
        <v>5000</v>
      </c>
      <c r="K63" s="176" cm="1">
        <f t="array" ref="K63">10^3*(_xlfn.XLOOKUP(K$8,'Master Data'!$C$2:$W$2,_xlfn.XLOOKUP($A63,'Master Data'!$B$3:$B$122,'Master Data'!$C$3:$W$122))-$B63)</f>
        <v>5000</v>
      </c>
      <c r="L63" s="176" cm="1">
        <f t="array" ref="L63">10^3*(_xlfn.XLOOKUP(L$8,'Master Data'!$C$2:$W$2,_xlfn.XLOOKUP($A63,'Master Data'!$B$3:$B$122,'Master Data'!$C$3:$W$122))-$B63)</f>
        <v>5000</v>
      </c>
      <c r="M63" s="176" cm="1">
        <f t="array" ref="M63">10^3*(_xlfn.XLOOKUP(M$8,'Master Data'!$C$2:$W$2,_xlfn.XLOOKUP($A63,'Master Data'!$B$3:$B$122,'Master Data'!$C$3:$W$122))-$B63)</f>
        <v>5000</v>
      </c>
      <c r="N63" s="176" cm="1">
        <f t="array" ref="N63">10^3*(_xlfn.XLOOKUP(N$8,'Master Data'!$C$2:$W$2,_xlfn.XLOOKUP($A63,'Master Data'!$B$3:$B$122,'Master Data'!$C$3:$W$122))-$B63)</f>
        <v>5000</v>
      </c>
      <c r="O63" s="176" cm="1">
        <f t="array" ref="O63">10^3*(_xlfn.XLOOKUP(O$8,'Master Data'!$C$2:$W$2,_xlfn.XLOOKUP($A63,'Master Data'!$B$3:$B$122,'Master Data'!$C$3:$W$122))-$B63)</f>
        <v>5000</v>
      </c>
      <c r="P63" s="176" cm="1">
        <f t="array" ref="P63">10^3*(_xlfn.XLOOKUP(P$8,'Master Data'!$C$2:$W$2,_xlfn.XLOOKUP($A63,'Master Data'!$B$3:$B$122,'Master Data'!$C$3:$W$122))-$B63)</f>
        <v>7000</v>
      </c>
      <c r="Q63" s="176" cm="1">
        <f t="array" ref="Q63">10^3*(_xlfn.XLOOKUP(Q$8,'Master Data'!$C$2:$W$2,_xlfn.XLOOKUP($A63,'Master Data'!$B$3:$B$122,'Master Data'!$C$3:$W$122))-$B63)</f>
        <v>7000</v>
      </c>
      <c r="R63" s="176" cm="1">
        <f t="array" ref="R63">10^3*(_xlfn.XLOOKUP(R$8,'Master Data'!$C$2:$W$2,_xlfn.XLOOKUP($A63,'Master Data'!$B$3:$B$122,'Master Data'!$C$3:$W$122))-$B63)</f>
        <v>7000</v>
      </c>
      <c r="S63" s="176" cm="1">
        <f t="array" ref="S63">10^3*(_xlfn.XLOOKUP(S$8,'Master Data'!$C$2:$W$2,_xlfn.XLOOKUP($A63,'Master Data'!$B$3:$B$122,'Master Data'!$C$3:$W$122))-$B63)</f>
        <v>5000</v>
      </c>
      <c r="T63" s="176" cm="1">
        <f t="array" ref="T63">10^3*(_xlfn.XLOOKUP(T$8,'Master Data'!$C$2:$W$2,_xlfn.XLOOKUP($A63,'Master Data'!$B$3:$B$122,'Master Data'!$C$3:$W$122))-$B63)</f>
        <v>7000</v>
      </c>
      <c r="U63" s="176" cm="1">
        <f t="array" ref="U63">10^3*(_xlfn.XLOOKUP(U$8,'Master Data'!$C$2:$W$2,_xlfn.XLOOKUP($A63,'Master Data'!$B$3:$B$122,'Master Data'!$C$3:$W$122))-$B63)</f>
        <v>7000</v>
      </c>
      <c r="V63" s="176" cm="1">
        <f t="array" ref="V63">10^3*(_xlfn.XLOOKUP(V$8,'Master Data'!$C$2:$W$2,_xlfn.XLOOKUP($A63,'Master Data'!$B$3:$B$122,'Master Data'!$C$3:$W$122))-$B63)</f>
        <v>7000</v>
      </c>
      <c r="W63" s="176" cm="1">
        <f t="array" ref="W63">10^3*(_xlfn.XLOOKUP(W$8,'Master Data'!$C$2:$W$2,_xlfn.XLOOKUP($A63,'Master Data'!$B$3:$B$122,'Master Data'!$C$3:$W$122))-$B63)</f>
        <v>5000</v>
      </c>
      <c r="X63" s="176" cm="1">
        <f t="array" ref="X63">10^3*(_xlfn.XLOOKUP(X$8,'Master Data'!$C$2:$W$2,_xlfn.XLOOKUP($A63,'Master Data'!$B$3:$B$122,'Master Data'!$C$3:$W$122))-$B63)</f>
        <v>4000</v>
      </c>
      <c r="Y63" s="177" cm="1">
        <f t="array" ref="Y63">10^3*(_xlfn.XLOOKUP(Y$8,'Master Data'!$C$2:$W$2,_xlfn.XLOOKUP($A63,'Master Data'!$B$3:$B$122,'Master Data'!$C$3:$W$122))-$B63)</f>
        <v>5000</v>
      </c>
      <c r="Z63" s="177" t="e" cm="1">
        <f t="array" ref="Z63">10^3*(_xlfn.XLOOKUP(Z$8,'Master Data'!$C$2:$W$2,_xlfn.XLOOKUP($A63,'Master Data'!$B$3:$B$122,'Master Data'!$C$3:$W$122))-$B63)</f>
        <v>#N/A</v>
      </c>
      <c r="AA63" s="177" t="e" cm="1">
        <f t="array" ref="AA63">10^3*(_xlfn.XLOOKUP(AA$8,'Master Data'!$C$2:$W$2,_xlfn.XLOOKUP($A63,'Master Data'!$B$3:$B$122,'Master Data'!$C$3:$W$122))-$B63)</f>
        <v>#N/A</v>
      </c>
    </row>
    <row r="64" spans="1:27" s="172" customFormat="1" x14ac:dyDescent="0.25">
      <c r="A64" s="173" t="s">
        <v>111</v>
      </c>
      <c r="B64" s="174">
        <v>50</v>
      </c>
      <c r="C64" s="172" t="b">
        <f>ISNUMBER(_xlfn.XMATCH(A64,'Master Data'!$B$3:$B$122))</f>
        <v>1</v>
      </c>
      <c r="E64" s="175" cm="1">
        <f t="array" ref="E64">10^3*(_xlfn.XLOOKUP(E$8,'Master Data'!$C$2:$W$2,_xlfn.XLOOKUP($A64,'Master Data'!$B$3:$B$122,'Master Data'!$C$3:$W$122))-$B64)</f>
        <v>10000</v>
      </c>
      <c r="F64" s="176" cm="1">
        <f t="array" ref="F64">10^3*(_xlfn.XLOOKUP(F$8,'Master Data'!$C$2:$W$2,_xlfn.XLOOKUP($A64,'Master Data'!$B$3:$B$122,'Master Data'!$C$3:$W$122))-$B64)</f>
        <v>10000</v>
      </c>
      <c r="G64" s="176" cm="1">
        <f t="array" ref="G64">10^3*(_xlfn.XLOOKUP(G$8,'Master Data'!$C$2:$W$2,_xlfn.XLOOKUP($A64,'Master Data'!$B$3:$B$122,'Master Data'!$C$3:$W$122))-$B64)</f>
        <v>8000</v>
      </c>
      <c r="H64" s="176" cm="1">
        <f t="array" ref="H64">10^3*(_xlfn.XLOOKUP(H$8,'Master Data'!$C$2:$W$2,_xlfn.XLOOKUP($A64,'Master Data'!$B$3:$B$122,'Master Data'!$C$3:$W$122))-$B64)</f>
        <v>8000</v>
      </c>
      <c r="I64" s="176" cm="1">
        <f t="array" ref="I64">10^3*(_xlfn.XLOOKUP(I$8,'Master Data'!$C$2:$W$2,_xlfn.XLOOKUP($A64,'Master Data'!$B$3:$B$122,'Master Data'!$C$3:$W$122))-$B64)</f>
        <v>8000</v>
      </c>
      <c r="J64" s="176" cm="1">
        <f t="array" ref="J64">10^3*(_xlfn.XLOOKUP(J$8,'Master Data'!$C$2:$W$2,_xlfn.XLOOKUP($A64,'Master Data'!$B$3:$B$122,'Master Data'!$C$3:$W$122))-$B64)</f>
        <v>8000</v>
      </c>
      <c r="K64" s="176" cm="1">
        <f t="array" ref="K64">10^3*(_xlfn.XLOOKUP(K$8,'Master Data'!$C$2:$W$2,_xlfn.XLOOKUP($A64,'Master Data'!$B$3:$B$122,'Master Data'!$C$3:$W$122))-$B64)</f>
        <v>8000</v>
      </c>
      <c r="L64" s="176" cm="1">
        <f t="array" ref="L64">10^3*(_xlfn.XLOOKUP(L$8,'Master Data'!$C$2:$W$2,_xlfn.XLOOKUP($A64,'Master Data'!$B$3:$B$122,'Master Data'!$C$3:$W$122))-$B64)</f>
        <v>8000</v>
      </c>
      <c r="M64" s="176" cm="1">
        <f t="array" ref="M64">10^3*(_xlfn.XLOOKUP(M$8,'Master Data'!$C$2:$W$2,_xlfn.XLOOKUP($A64,'Master Data'!$B$3:$B$122,'Master Data'!$C$3:$W$122))-$B64)</f>
        <v>8000</v>
      </c>
      <c r="N64" s="176" cm="1">
        <f t="array" ref="N64">10^3*(_xlfn.XLOOKUP(N$8,'Master Data'!$C$2:$W$2,_xlfn.XLOOKUP($A64,'Master Data'!$B$3:$B$122,'Master Data'!$C$3:$W$122))-$B64)</f>
        <v>8000</v>
      </c>
      <c r="O64" s="176" cm="1">
        <f t="array" ref="O64">10^3*(_xlfn.XLOOKUP(O$8,'Master Data'!$C$2:$W$2,_xlfn.XLOOKUP($A64,'Master Data'!$B$3:$B$122,'Master Data'!$C$3:$W$122))-$B64)</f>
        <v>8000</v>
      </c>
      <c r="P64" s="176" cm="1">
        <f t="array" ref="P64">10^3*(_xlfn.XLOOKUP(P$8,'Master Data'!$C$2:$W$2,_xlfn.XLOOKUP($A64,'Master Data'!$B$3:$B$122,'Master Data'!$C$3:$W$122))-$B64)</f>
        <v>10000</v>
      </c>
      <c r="Q64" s="176" cm="1">
        <f t="array" ref="Q64">10^3*(_xlfn.XLOOKUP(Q$8,'Master Data'!$C$2:$W$2,_xlfn.XLOOKUP($A64,'Master Data'!$B$3:$B$122,'Master Data'!$C$3:$W$122))-$B64)</f>
        <v>10000</v>
      </c>
      <c r="R64" s="176" cm="1">
        <f t="array" ref="R64">10^3*(_xlfn.XLOOKUP(R$8,'Master Data'!$C$2:$W$2,_xlfn.XLOOKUP($A64,'Master Data'!$B$3:$B$122,'Master Data'!$C$3:$W$122))-$B64)</f>
        <v>10000</v>
      </c>
      <c r="S64" s="176" cm="1">
        <f t="array" ref="S64">10^3*(_xlfn.XLOOKUP(S$8,'Master Data'!$C$2:$W$2,_xlfn.XLOOKUP($A64,'Master Data'!$B$3:$B$122,'Master Data'!$C$3:$W$122))-$B64)</f>
        <v>8000</v>
      </c>
      <c r="T64" s="176" cm="1">
        <f t="array" ref="T64">10^3*(_xlfn.XLOOKUP(T$8,'Master Data'!$C$2:$W$2,_xlfn.XLOOKUP($A64,'Master Data'!$B$3:$B$122,'Master Data'!$C$3:$W$122))-$B64)</f>
        <v>10000</v>
      </c>
      <c r="U64" s="176" cm="1">
        <f t="array" ref="U64">10^3*(_xlfn.XLOOKUP(U$8,'Master Data'!$C$2:$W$2,_xlfn.XLOOKUP($A64,'Master Data'!$B$3:$B$122,'Master Data'!$C$3:$W$122))-$B64)</f>
        <v>10000</v>
      </c>
      <c r="V64" s="176" cm="1">
        <f t="array" ref="V64">10^3*(_xlfn.XLOOKUP(V$8,'Master Data'!$C$2:$W$2,_xlfn.XLOOKUP($A64,'Master Data'!$B$3:$B$122,'Master Data'!$C$3:$W$122))-$B64)</f>
        <v>10000</v>
      </c>
      <c r="W64" s="176" cm="1">
        <f t="array" ref="W64">10^3*(_xlfn.XLOOKUP(W$8,'Master Data'!$C$2:$W$2,_xlfn.XLOOKUP($A64,'Master Data'!$B$3:$B$122,'Master Data'!$C$3:$W$122))-$B64)</f>
        <v>8000</v>
      </c>
      <c r="X64" s="176" cm="1">
        <f t="array" ref="X64">10^3*(_xlfn.XLOOKUP(X$8,'Master Data'!$C$2:$W$2,_xlfn.XLOOKUP($A64,'Master Data'!$B$3:$B$122,'Master Data'!$C$3:$W$122))-$B64)</f>
        <v>8000</v>
      </c>
      <c r="Y64" s="177" cm="1">
        <f t="array" ref="Y64">10^3*(_xlfn.XLOOKUP(Y$8,'Master Data'!$C$2:$W$2,_xlfn.XLOOKUP($A64,'Master Data'!$B$3:$B$122,'Master Data'!$C$3:$W$122))-$B64)</f>
        <v>8000</v>
      </c>
      <c r="Z64" s="177" t="e" cm="1">
        <f t="array" ref="Z64">10^3*(_xlfn.XLOOKUP(Z$8,'Master Data'!$C$2:$W$2,_xlfn.XLOOKUP($A64,'Master Data'!$B$3:$B$122,'Master Data'!$C$3:$W$122))-$B64)</f>
        <v>#N/A</v>
      </c>
      <c r="AA64" s="177" t="e" cm="1">
        <f t="array" ref="AA64">10^3*(_xlfn.XLOOKUP(AA$8,'Master Data'!$C$2:$W$2,_xlfn.XLOOKUP($A64,'Master Data'!$B$3:$B$122,'Master Data'!$C$3:$W$122))-$B64)</f>
        <v>#N/A</v>
      </c>
    </row>
    <row r="65" spans="1:27" s="172" customFormat="1" x14ac:dyDescent="0.25">
      <c r="A65" s="173" t="s">
        <v>51</v>
      </c>
      <c r="B65" s="174">
        <v>55</v>
      </c>
      <c r="C65" s="172" t="b">
        <f>ISNUMBER(_xlfn.XMATCH(A65,'Master Data'!$B$3:$B$122))</f>
        <v>1</v>
      </c>
      <c r="E65" s="175" cm="1">
        <f t="array" ref="E65">10^3*(_xlfn.XLOOKUP(E$8,'Master Data'!$C$2:$W$2,_xlfn.XLOOKUP($A65,'Master Data'!$B$3:$B$122,'Master Data'!$C$3:$W$122))-$B65)</f>
        <v>10000</v>
      </c>
      <c r="F65" s="176" cm="1">
        <f t="array" ref="F65">10^3*(_xlfn.XLOOKUP(F$8,'Master Data'!$C$2:$W$2,_xlfn.XLOOKUP($A65,'Master Data'!$B$3:$B$122,'Master Data'!$C$3:$W$122))-$B65)</f>
        <v>10000</v>
      </c>
      <c r="G65" s="176" cm="1">
        <f t="array" ref="G65">10^3*(_xlfn.XLOOKUP(G$8,'Master Data'!$C$2:$W$2,_xlfn.XLOOKUP($A65,'Master Data'!$B$3:$B$122,'Master Data'!$C$3:$W$122))-$B65)</f>
        <v>7000</v>
      </c>
      <c r="H65" s="176" cm="1">
        <f t="array" ref="H65">10^3*(_xlfn.XLOOKUP(H$8,'Master Data'!$C$2:$W$2,_xlfn.XLOOKUP($A65,'Master Data'!$B$3:$B$122,'Master Data'!$C$3:$W$122))-$B65)</f>
        <v>7000</v>
      </c>
      <c r="I65" s="176" cm="1">
        <f t="array" ref="I65">10^3*(_xlfn.XLOOKUP(I$8,'Master Data'!$C$2:$W$2,_xlfn.XLOOKUP($A65,'Master Data'!$B$3:$B$122,'Master Data'!$C$3:$W$122))-$B65)</f>
        <v>7000</v>
      </c>
      <c r="J65" s="176" cm="1">
        <f t="array" ref="J65">10^3*(_xlfn.XLOOKUP(J$8,'Master Data'!$C$2:$W$2,_xlfn.XLOOKUP($A65,'Master Data'!$B$3:$B$122,'Master Data'!$C$3:$W$122))-$B65)</f>
        <v>7000</v>
      </c>
      <c r="K65" s="176" cm="1">
        <f t="array" ref="K65">10^3*(_xlfn.XLOOKUP(K$8,'Master Data'!$C$2:$W$2,_xlfn.XLOOKUP($A65,'Master Data'!$B$3:$B$122,'Master Data'!$C$3:$W$122))-$B65)</f>
        <v>7000</v>
      </c>
      <c r="L65" s="176" cm="1">
        <f t="array" ref="L65">10^3*(_xlfn.XLOOKUP(L$8,'Master Data'!$C$2:$W$2,_xlfn.XLOOKUP($A65,'Master Data'!$B$3:$B$122,'Master Data'!$C$3:$W$122))-$B65)</f>
        <v>7000</v>
      </c>
      <c r="M65" s="176" cm="1">
        <f t="array" ref="M65">10^3*(_xlfn.XLOOKUP(M$8,'Master Data'!$C$2:$W$2,_xlfn.XLOOKUP($A65,'Master Data'!$B$3:$B$122,'Master Data'!$C$3:$W$122))-$B65)</f>
        <v>7000</v>
      </c>
      <c r="N65" s="176" cm="1">
        <f t="array" ref="N65">10^3*(_xlfn.XLOOKUP(N$8,'Master Data'!$C$2:$W$2,_xlfn.XLOOKUP($A65,'Master Data'!$B$3:$B$122,'Master Data'!$C$3:$W$122))-$B65)</f>
        <v>7000</v>
      </c>
      <c r="O65" s="176" cm="1">
        <f t="array" ref="O65">10^3*(_xlfn.XLOOKUP(O$8,'Master Data'!$C$2:$W$2,_xlfn.XLOOKUP($A65,'Master Data'!$B$3:$B$122,'Master Data'!$C$3:$W$122))-$B65)</f>
        <v>7000</v>
      </c>
      <c r="P65" s="176" cm="1">
        <f t="array" ref="P65">10^3*(_xlfn.XLOOKUP(P$8,'Master Data'!$C$2:$W$2,_xlfn.XLOOKUP($A65,'Master Data'!$B$3:$B$122,'Master Data'!$C$3:$W$122))-$B65)</f>
        <v>10000</v>
      </c>
      <c r="Q65" s="176" cm="1">
        <f t="array" ref="Q65">10^3*(_xlfn.XLOOKUP(Q$8,'Master Data'!$C$2:$W$2,_xlfn.XLOOKUP($A65,'Master Data'!$B$3:$B$122,'Master Data'!$C$3:$W$122))-$B65)</f>
        <v>10000</v>
      </c>
      <c r="R65" s="176" cm="1">
        <f t="array" ref="R65">10^3*(_xlfn.XLOOKUP(R$8,'Master Data'!$C$2:$W$2,_xlfn.XLOOKUP($A65,'Master Data'!$B$3:$B$122,'Master Data'!$C$3:$W$122))-$B65)</f>
        <v>10000</v>
      </c>
      <c r="S65" s="176" cm="1">
        <f t="array" ref="S65">10^3*(_xlfn.XLOOKUP(S$8,'Master Data'!$C$2:$W$2,_xlfn.XLOOKUP($A65,'Master Data'!$B$3:$B$122,'Master Data'!$C$3:$W$122))-$B65)</f>
        <v>7000</v>
      </c>
      <c r="T65" s="176" cm="1">
        <f t="array" ref="T65">10^3*(_xlfn.XLOOKUP(T$8,'Master Data'!$C$2:$W$2,_xlfn.XLOOKUP($A65,'Master Data'!$B$3:$B$122,'Master Data'!$C$3:$W$122))-$B65)</f>
        <v>10000</v>
      </c>
      <c r="U65" s="176" cm="1">
        <f t="array" ref="U65">10^3*(_xlfn.XLOOKUP(U$8,'Master Data'!$C$2:$W$2,_xlfn.XLOOKUP($A65,'Master Data'!$B$3:$B$122,'Master Data'!$C$3:$W$122))-$B65)</f>
        <v>10000</v>
      </c>
      <c r="V65" s="176" cm="1">
        <f t="array" ref="V65">10^3*(_xlfn.XLOOKUP(V$8,'Master Data'!$C$2:$W$2,_xlfn.XLOOKUP($A65,'Master Data'!$B$3:$B$122,'Master Data'!$C$3:$W$122))-$B65)</f>
        <v>10000</v>
      </c>
      <c r="W65" s="176" cm="1">
        <f t="array" ref="W65">10^3*(_xlfn.XLOOKUP(W$8,'Master Data'!$C$2:$W$2,_xlfn.XLOOKUP($A65,'Master Data'!$B$3:$B$122,'Master Data'!$C$3:$W$122))-$B65)</f>
        <v>7000</v>
      </c>
      <c r="X65" s="176" cm="1">
        <f t="array" ref="X65">10^3*(_xlfn.XLOOKUP(X$8,'Master Data'!$C$2:$W$2,_xlfn.XLOOKUP($A65,'Master Data'!$B$3:$B$122,'Master Data'!$C$3:$W$122))-$B65)</f>
        <v>7000</v>
      </c>
      <c r="Y65" s="177" cm="1">
        <f t="array" ref="Y65">10^3*(_xlfn.XLOOKUP(Y$8,'Master Data'!$C$2:$W$2,_xlfn.XLOOKUP($A65,'Master Data'!$B$3:$B$122,'Master Data'!$C$3:$W$122))-$B65)</f>
        <v>7000</v>
      </c>
      <c r="Z65" s="177" t="e" cm="1">
        <f t="array" ref="Z65">10^3*(_xlfn.XLOOKUP(Z$8,'Master Data'!$C$2:$W$2,_xlfn.XLOOKUP($A65,'Master Data'!$B$3:$B$122,'Master Data'!$C$3:$W$122))-$B65)</f>
        <v>#N/A</v>
      </c>
      <c r="AA65" s="177" t="e" cm="1">
        <f t="array" ref="AA65">10^3*(_xlfn.XLOOKUP(AA$8,'Master Data'!$C$2:$W$2,_xlfn.XLOOKUP($A65,'Master Data'!$B$3:$B$122,'Master Data'!$C$3:$W$122))-$B65)</f>
        <v>#N/A</v>
      </c>
    </row>
    <row r="66" spans="1:27" s="172" customFormat="1" x14ac:dyDescent="0.25">
      <c r="A66" s="173" t="s">
        <v>112</v>
      </c>
      <c r="B66" s="174">
        <v>100</v>
      </c>
      <c r="C66" s="172" t="b">
        <f>ISNUMBER(_xlfn.XMATCH(A66,'Master Data'!$B$3:$B$122))</f>
        <v>1</v>
      </c>
      <c r="E66" s="175" cm="1">
        <f t="array" ref="E66">10^3*(_xlfn.XLOOKUP(E$8,'Master Data'!$C$2:$W$2,_xlfn.XLOOKUP($A66,'Master Data'!$B$3:$B$122,'Master Data'!$C$3:$W$122))-$B66)</f>
        <v>25000</v>
      </c>
      <c r="F66" s="176" cm="1">
        <f t="array" ref="F66">10^3*(_xlfn.XLOOKUP(F$8,'Master Data'!$C$2:$W$2,_xlfn.XLOOKUP($A66,'Master Data'!$B$3:$B$122,'Master Data'!$C$3:$W$122))-$B66)</f>
        <v>25000</v>
      </c>
      <c r="G66" s="176" cm="1">
        <f t="array" ref="G66">10^3*(_xlfn.XLOOKUP(G$8,'Master Data'!$C$2:$W$2,_xlfn.XLOOKUP($A66,'Master Data'!$B$3:$B$122,'Master Data'!$C$3:$W$122))-$B66)</f>
        <v>20000</v>
      </c>
      <c r="H66" s="176" cm="1">
        <f t="array" ref="H66">10^3*(_xlfn.XLOOKUP(H$8,'Master Data'!$C$2:$W$2,_xlfn.XLOOKUP($A66,'Master Data'!$B$3:$B$122,'Master Data'!$C$3:$W$122))-$B66)</f>
        <v>20000</v>
      </c>
      <c r="I66" s="176" cm="1">
        <f t="array" ref="I66">10^3*(_xlfn.XLOOKUP(I$8,'Master Data'!$C$2:$W$2,_xlfn.XLOOKUP($A66,'Master Data'!$B$3:$B$122,'Master Data'!$C$3:$W$122))-$B66)</f>
        <v>20000</v>
      </c>
      <c r="J66" s="176" cm="1">
        <f t="array" ref="J66">10^3*(_xlfn.XLOOKUP(J$8,'Master Data'!$C$2:$W$2,_xlfn.XLOOKUP($A66,'Master Data'!$B$3:$B$122,'Master Data'!$C$3:$W$122))-$B66)</f>
        <v>20000</v>
      </c>
      <c r="K66" s="176" cm="1">
        <f t="array" ref="K66">10^3*(_xlfn.XLOOKUP(K$8,'Master Data'!$C$2:$W$2,_xlfn.XLOOKUP($A66,'Master Data'!$B$3:$B$122,'Master Data'!$C$3:$W$122))-$B66)</f>
        <v>20000</v>
      </c>
      <c r="L66" s="176" cm="1">
        <f t="array" ref="L66">10^3*(_xlfn.XLOOKUP(L$8,'Master Data'!$C$2:$W$2,_xlfn.XLOOKUP($A66,'Master Data'!$B$3:$B$122,'Master Data'!$C$3:$W$122))-$B66)</f>
        <v>20000</v>
      </c>
      <c r="M66" s="176" cm="1">
        <f t="array" ref="M66">10^3*(_xlfn.XLOOKUP(M$8,'Master Data'!$C$2:$W$2,_xlfn.XLOOKUP($A66,'Master Data'!$B$3:$B$122,'Master Data'!$C$3:$W$122))-$B66)</f>
        <v>20000</v>
      </c>
      <c r="N66" s="176" cm="1">
        <f t="array" ref="N66">10^3*(_xlfn.XLOOKUP(N$8,'Master Data'!$C$2:$W$2,_xlfn.XLOOKUP($A66,'Master Data'!$B$3:$B$122,'Master Data'!$C$3:$W$122))-$B66)</f>
        <v>20000</v>
      </c>
      <c r="O66" s="176" cm="1">
        <f t="array" ref="O66">10^3*(_xlfn.XLOOKUP(O$8,'Master Data'!$C$2:$W$2,_xlfn.XLOOKUP($A66,'Master Data'!$B$3:$B$122,'Master Data'!$C$3:$W$122))-$B66)</f>
        <v>20000</v>
      </c>
      <c r="P66" s="176" cm="1">
        <f t="array" ref="P66">10^3*(_xlfn.XLOOKUP(P$8,'Master Data'!$C$2:$W$2,_xlfn.XLOOKUP($A66,'Master Data'!$B$3:$B$122,'Master Data'!$C$3:$W$122))-$B66)</f>
        <v>25000</v>
      </c>
      <c r="Q66" s="176" cm="1">
        <f t="array" ref="Q66">10^3*(_xlfn.XLOOKUP(Q$8,'Master Data'!$C$2:$W$2,_xlfn.XLOOKUP($A66,'Master Data'!$B$3:$B$122,'Master Data'!$C$3:$W$122))-$B66)</f>
        <v>25000</v>
      </c>
      <c r="R66" s="176" cm="1">
        <f t="array" ref="R66">10^3*(_xlfn.XLOOKUP(R$8,'Master Data'!$C$2:$W$2,_xlfn.XLOOKUP($A66,'Master Data'!$B$3:$B$122,'Master Data'!$C$3:$W$122))-$B66)</f>
        <v>25000</v>
      </c>
      <c r="S66" s="176" cm="1">
        <f t="array" ref="S66">10^3*(_xlfn.XLOOKUP(S$8,'Master Data'!$C$2:$W$2,_xlfn.XLOOKUP($A66,'Master Data'!$B$3:$B$122,'Master Data'!$C$3:$W$122))-$B66)</f>
        <v>20000</v>
      </c>
      <c r="T66" s="176" cm="1">
        <f t="array" ref="T66">10^3*(_xlfn.XLOOKUP(T$8,'Master Data'!$C$2:$W$2,_xlfn.XLOOKUP($A66,'Master Data'!$B$3:$B$122,'Master Data'!$C$3:$W$122))-$B66)</f>
        <v>25000</v>
      </c>
      <c r="U66" s="176" cm="1">
        <f t="array" ref="U66">10^3*(_xlfn.XLOOKUP(U$8,'Master Data'!$C$2:$W$2,_xlfn.XLOOKUP($A66,'Master Data'!$B$3:$B$122,'Master Data'!$C$3:$W$122))-$B66)</f>
        <v>25000</v>
      </c>
      <c r="V66" s="176" cm="1">
        <f t="array" ref="V66">10^3*(_xlfn.XLOOKUP(V$8,'Master Data'!$C$2:$W$2,_xlfn.XLOOKUP($A66,'Master Data'!$B$3:$B$122,'Master Data'!$C$3:$W$122))-$B66)</f>
        <v>25000</v>
      </c>
      <c r="W66" s="176" cm="1">
        <f t="array" ref="W66">10^3*(_xlfn.XLOOKUP(W$8,'Master Data'!$C$2:$W$2,_xlfn.XLOOKUP($A66,'Master Data'!$B$3:$B$122,'Master Data'!$C$3:$W$122))-$B66)</f>
        <v>20000</v>
      </c>
      <c r="X66" s="176" cm="1">
        <f t="array" ref="X66">10^3*(_xlfn.XLOOKUP(X$8,'Master Data'!$C$2:$W$2,_xlfn.XLOOKUP($A66,'Master Data'!$B$3:$B$122,'Master Data'!$C$3:$W$122))-$B66)</f>
        <v>20000</v>
      </c>
      <c r="Y66" s="177" cm="1">
        <f t="array" ref="Y66">10^3*(_xlfn.XLOOKUP(Y$8,'Master Data'!$C$2:$W$2,_xlfn.XLOOKUP($A66,'Master Data'!$B$3:$B$122,'Master Data'!$C$3:$W$122))-$B66)</f>
        <v>20000</v>
      </c>
      <c r="Z66" s="177" t="e" cm="1">
        <f t="array" ref="Z66">10^3*(_xlfn.XLOOKUP(Z$8,'Master Data'!$C$2:$W$2,_xlfn.XLOOKUP($A66,'Master Data'!$B$3:$B$122,'Master Data'!$C$3:$W$122))-$B66)</f>
        <v>#N/A</v>
      </c>
      <c r="AA66" s="177" t="e" cm="1">
        <f t="array" ref="AA66">10^3*(_xlfn.XLOOKUP(AA$8,'Master Data'!$C$2:$W$2,_xlfn.XLOOKUP($A66,'Master Data'!$B$3:$B$122,'Master Data'!$C$3:$W$122))-$B66)</f>
        <v>#N/A</v>
      </c>
    </row>
    <row r="67" spans="1:27" s="172" customFormat="1" x14ac:dyDescent="0.25">
      <c r="A67" s="173" t="s">
        <v>49</v>
      </c>
      <c r="B67" s="174">
        <v>58</v>
      </c>
      <c r="C67" s="172" t="b">
        <f>ISNUMBER(_xlfn.XMATCH(A67,'Master Data'!$B$3:$B$122))</f>
        <v>1</v>
      </c>
      <c r="E67" s="175" cm="1">
        <f t="array" ref="E67">10^3*(_xlfn.XLOOKUP(E$8,'Master Data'!$C$2:$W$2,_xlfn.XLOOKUP($A67,'Master Data'!$B$3:$B$122,'Master Data'!$C$3:$W$122))-$B67)</f>
        <v>9000</v>
      </c>
      <c r="F67" s="176" cm="1">
        <f t="array" ref="F67">10^3*(_xlfn.XLOOKUP(F$8,'Master Data'!$C$2:$W$2,_xlfn.XLOOKUP($A67,'Master Data'!$B$3:$B$122,'Master Data'!$C$3:$W$122))-$B67)</f>
        <v>9000</v>
      </c>
      <c r="G67" s="176" cm="1">
        <f t="array" ref="G67">10^3*(_xlfn.XLOOKUP(G$8,'Master Data'!$C$2:$W$2,_xlfn.XLOOKUP($A67,'Master Data'!$B$3:$B$122,'Master Data'!$C$3:$W$122))-$B67)</f>
        <v>5000</v>
      </c>
      <c r="H67" s="176" cm="1">
        <f t="array" ref="H67">10^3*(_xlfn.XLOOKUP(H$8,'Master Data'!$C$2:$W$2,_xlfn.XLOOKUP($A67,'Master Data'!$B$3:$B$122,'Master Data'!$C$3:$W$122))-$B67)</f>
        <v>5000</v>
      </c>
      <c r="I67" s="176" cm="1">
        <f t="array" ref="I67">10^3*(_xlfn.XLOOKUP(I$8,'Master Data'!$C$2:$W$2,_xlfn.XLOOKUP($A67,'Master Data'!$B$3:$B$122,'Master Data'!$C$3:$W$122))-$B67)</f>
        <v>5000</v>
      </c>
      <c r="J67" s="176" cm="1">
        <f t="array" ref="J67">10^3*(_xlfn.XLOOKUP(J$8,'Master Data'!$C$2:$W$2,_xlfn.XLOOKUP($A67,'Master Data'!$B$3:$B$122,'Master Data'!$C$3:$W$122))-$B67)</f>
        <v>5000</v>
      </c>
      <c r="K67" s="176" cm="1">
        <f t="array" ref="K67">10^3*(_xlfn.XLOOKUP(K$8,'Master Data'!$C$2:$W$2,_xlfn.XLOOKUP($A67,'Master Data'!$B$3:$B$122,'Master Data'!$C$3:$W$122))-$B67)</f>
        <v>5000</v>
      </c>
      <c r="L67" s="176" cm="1">
        <f t="array" ref="L67">10^3*(_xlfn.XLOOKUP(L$8,'Master Data'!$C$2:$W$2,_xlfn.XLOOKUP($A67,'Master Data'!$B$3:$B$122,'Master Data'!$C$3:$W$122))-$B67)</f>
        <v>5000</v>
      </c>
      <c r="M67" s="176" cm="1">
        <f t="array" ref="M67">10^3*(_xlfn.XLOOKUP(M$8,'Master Data'!$C$2:$W$2,_xlfn.XLOOKUP($A67,'Master Data'!$B$3:$B$122,'Master Data'!$C$3:$W$122))-$B67)</f>
        <v>5000</v>
      </c>
      <c r="N67" s="176" cm="1">
        <f t="array" ref="N67">10^3*(_xlfn.XLOOKUP(N$8,'Master Data'!$C$2:$W$2,_xlfn.XLOOKUP($A67,'Master Data'!$B$3:$B$122,'Master Data'!$C$3:$W$122))-$B67)</f>
        <v>5000</v>
      </c>
      <c r="O67" s="176" cm="1">
        <f t="array" ref="O67">10^3*(_xlfn.XLOOKUP(O$8,'Master Data'!$C$2:$W$2,_xlfn.XLOOKUP($A67,'Master Data'!$B$3:$B$122,'Master Data'!$C$3:$W$122))-$B67)</f>
        <v>5000</v>
      </c>
      <c r="P67" s="176" cm="1">
        <f t="array" ref="P67">10^3*(_xlfn.XLOOKUP(P$8,'Master Data'!$C$2:$W$2,_xlfn.XLOOKUP($A67,'Master Data'!$B$3:$B$122,'Master Data'!$C$3:$W$122))-$B67)</f>
        <v>9000</v>
      </c>
      <c r="Q67" s="176" cm="1">
        <f t="array" ref="Q67">10^3*(_xlfn.XLOOKUP(Q$8,'Master Data'!$C$2:$W$2,_xlfn.XLOOKUP($A67,'Master Data'!$B$3:$B$122,'Master Data'!$C$3:$W$122))-$B67)</f>
        <v>9000</v>
      </c>
      <c r="R67" s="176" cm="1">
        <f t="array" ref="R67">10^3*(_xlfn.XLOOKUP(R$8,'Master Data'!$C$2:$W$2,_xlfn.XLOOKUP($A67,'Master Data'!$B$3:$B$122,'Master Data'!$C$3:$W$122))-$B67)</f>
        <v>7000</v>
      </c>
      <c r="S67" s="176" cm="1">
        <f t="array" ref="S67">10^3*(_xlfn.XLOOKUP(S$8,'Master Data'!$C$2:$W$2,_xlfn.XLOOKUP($A67,'Master Data'!$B$3:$B$122,'Master Data'!$C$3:$W$122))-$B67)</f>
        <v>5000</v>
      </c>
      <c r="T67" s="176" cm="1">
        <f t="array" ref="T67">10^3*(_xlfn.XLOOKUP(T$8,'Master Data'!$C$2:$W$2,_xlfn.XLOOKUP($A67,'Master Data'!$B$3:$B$122,'Master Data'!$C$3:$W$122))-$B67)</f>
        <v>9000</v>
      </c>
      <c r="U67" s="176" cm="1">
        <f t="array" ref="U67">10^3*(_xlfn.XLOOKUP(U$8,'Master Data'!$C$2:$W$2,_xlfn.XLOOKUP($A67,'Master Data'!$B$3:$B$122,'Master Data'!$C$3:$W$122))-$B67)</f>
        <v>9000</v>
      </c>
      <c r="V67" s="176" cm="1">
        <f t="array" ref="V67">10^3*(_xlfn.XLOOKUP(V$8,'Master Data'!$C$2:$W$2,_xlfn.XLOOKUP($A67,'Master Data'!$B$3:$B$122,'Master Data'!$C$3:$W$122))-$B67)</f>
        <v>7000</v>
      </c>
      <c r="W67" s="176" cm="1">
        <f t="array" ref="W67">10^3*(_xlfn.XLOOKUP(W$8,'Master Data'!$C$2:$W$2,_xlfn.XLOOKUP($A67,'Master Data'!$B$3:$B$122,'Master Data'!$C$3:$W$122))-$B67)</f>
        <v>5000</v>
      </c>
      <c r="X67" s="176" cm="1">
        <f t="array" ref="X67">10^3*(_xlfn.XLOOKUP(X$8,'Master Data'!$C$2:$W$2,_xlfn.XLOOKUP($A67,'Master Data'!$B$3:$B$122,'Master Data'!$C$3:$W$122))-$B67)</f>
        <v>5000</v>
      </c>
      <c r="Y67" s="177" cm="1">
        <f t="array" ref="Y67">10^3*(_xlfn.XLOOKUP(Y$8,'Master Data'!$C$2:$W$2,_xlfn.XLOOKUP($A67,'Master Data'!$B$3:$B$122,'Master Data'!$C$3:$W$122))-$B67)</f>
        <v>5000</v>
      </c>
      <c r="Z67" s="177" t="e" cm="1">
        <f t="array" ref="Z67">10^3*(_xlfn.XLOOKUP(Z$8,'Master Data'!$C$2:$W$2,_xlfn.XLOOKUP($A67,'Master Data'!$B$3:$B$122,'Master Data'!$C$3:$W$122))-$B67)</f>
        <v>#N/A</v>
      </c>
      <c r="AA67" s="177" t="e" cm="1">
        <f t="array" ref="AA67">10^3*(_xlfn.XLOOKUP(AA$8,'Master Data'!$C$2:$W$2,_xlfn.XLOOKUP($A67,'Master Data'!$B$3:$B$122,'Master Data'!$C$3:$W$122))-$B67)</f>
        <v>#N/A</v>
      </c>
    </row>
    <row r="68" spans="1:27" s="172" customFormat="1" x14ac:dyDescent="0.25">
      <c r="A68" s="173" t="s">
        <v>113</v>
      </c>
      <c r="B68" s="174">
        <v>100</v>
      </c>
      <c r="C68" s="172" t="b">
        <f>ISNUMBER(_xlfn.XMATCH(A68,'Master Data'!$B$3:$B$122))</f>
        <v>1</v>
      </c>
      <c r="E68" s="175" cm="1">
        <f t="array" ref="E68">10^3*(_xlfn.XLOOKUP(E$8,'Master Data'!$C$2:$W$2,_xlfn.XLOOKUP($A68,'Master Data'!$B$3:$B$122,'Master Data'!$C$3:$W$122))-$B68)</f>
        <v>25000</v>
      </c>
      <c r="F68" s="176" cm="1">
        <f t="array" ref="F68">10^3*(_xlfn.XLOOKUP(F$8,'Master Data'!$C$2:$W$2,_xlfn.XLOOKUP($A68,'Master Data'!$B$3:$B$122,'Master Data'!$C$3:$W$122))-$B68)</f>
        <v>25000</v>
      </c>
      <c r="G68" s="176" cm="1">
        <f t="array" ref="G68">10^3*(_xlfn.XLOOKUP(G$8,'Master Data'!$C$2:$W$2,_xlfn.XLOOKUP($A68,'Master Data'!$B$3:$B$122,'Master Data'!$C$3:$W$122))-$B68)</f>
        <v>20000</v>
      </c>
      <c r="H68" s="176" cm="1">
        <f t="array" ref="H68">10^3*(_xlfn.XLOOKUP(H$8,'Master Data'!$C$2:$W$2,_xlfn.XLOOKUP($A68,'Master Data'!$B$3:$B$122,'Master Data'!$C$3:$W$122))-$B68)</f>
        <v>20000</v>
      </c>
      <c r="I68" s="176" cm="1">
        <f t="array" ref="I68">10^3*(_xlfn.XLOOKUP(I$8,'Master Data'!$C$2:$W$2,_xlfn.XLOOKUP($A68,'Master Data'!$B$3:$B$122,'Master Data'!$C$3:$W$122))-$B68)</f>
        <v>20000</v>
      </c>
      <c r="J68" s="176" cm="1">
        <f t="array" ref="J68">10^3*(_xlfn.XLOOKUP(J$8,'Master Data'!$C$2:$W$2,_xlfn.XLOOKUP($A68,'Master Data'!$B$3:$B$122,'Master Data'!$C$3:$W$122))-$B68)</f>
        <v>20000</v>
      </c>
      <c r="K68" s="176" cm="1">
        <f t="array" ref="K68">10^3*(_xlfn.XLOOKUP(K$8,'Master Data'!$C$2:$W$2,_xlfn.XLOOKUP($A68,'Master Data'!$B$3:$B$122,'Master Data'!$C$3:$W$122))-$B68)</f>
        <v>20000</v>
      </c>
      <c r="L68" s="176" cm="1">
        <f t="array" ref="L68">10^3*(_xlfn.XLOOKUP(L$8,'Master Data'!$C$2:$W$2,_xlfn.XLOOKUP($A68,'Master Data'!$B$3:$B$122,'Master Data'!$C$3:$W$122))-$B68)</f>
        <v>20000</v>
      </c>
      <c r="M68" s="176" cm="1">
        <f t="array" ref="M68">10^3*(_xlfn.XLOOKUP(M$8,'Master Data'!$C$2:$W$2,_xlfn.XLOOKUP($A68,'Master Data'!$B$3:$B$122,'Master Data'!$C$3:$W$122))-$B68)</f>
        <v>20000</v>
      </c>
      <c r="N68" s="176" cm="1">
        <f t="array" ref="N68">10^3*(_xlfn.XLOOKUP(N$8,'Master Data'!$C$2:$W$2,_xlfn.XLOOKUP($A68,'Master Data'!$B$3:$B$122,'Master Data'!$C$3:$W$122))-$B68)</f>
        <v>20000</v>
      </c>
      <c r="O68" s="176" cm="1">
        <f t="array" ref="O68">10^3*(_xlfn.XLOOKUP(O$8,'Master Data'!$C$2:$W$2,_xlfn.XLOOKUP($A68,'Master Data'!$B$3:$B$122,'Master Data'!$C$3:$W$122))-$B68)</f>
        <v>20000</v>
      </c>
      <c r="P68" s="176" cm="1">
        <f t="array" ref="P68">10^3*(_xlfn.XLOOKUP(P$8,'Master Data'!$C$2:$W$2,_xlfn.XLOOKUP($A68,'Master Data'!$B$3:$B$122,'Master Data'!$C$3:$W$122))-$B68)</f>
        <v>25000</v>
      </c>
      <c r="Q68" s="176" cm="1">
        <f t="array" ref="Q68">10^3*(_xlfn.XLOOKUP(Q$8,'Master Data'!$C$2:$W$2,_xlfn.XLOOKUP($A68,'Master Data'!$B$3:$B$122,'Master Data'!$C$3:$W$122))-$B68)</f>
        <v>25000</v>
      </c>
      <c r="R68" s="176" cm="1">
        <f t="array" ref="R68">10^3*(_xlfn.XLOOKUP(R$8,'Master Data'!$C$2:$W$2,_xlfn.XLOOKUP($A68,'Master Data'!$B$3:$B$122,'Master Data'!$C$3:$W$122))-$B68)</f>
        <v>25000</v>
      </c>
      <c r="S68" s="176" cm="1">
        <f t="array" ref="S68">10^3*(_xlfn.XLOOKUP(S$8,'Master Data'!$C$2:$W$2,_xlfn.XLOOKUP($A68,'Master Data'!$B$3:$B$122,'Master Data'!$C$3:$W$122))-$B68)</f>
        <v>20000</v>
      </c>
      <c r="T68" s="176" cm="1">
        <f t="array" ref="T68">10^3*(_xlfn.XLOOKUP(T$8,'Master Data'!$C$2:$W$2,_xlfn.XLOOKUP($A68,'Master Data'!$B$3:$B$122,'Master Data'!$C$3:$W$122))-$B68)</f>
        <v>25000</v>
      </c>
      <c r="U68" s="176" cm="1">
        <f t="array" ref="U68">10^3*(_xlfn.XLOOKUP(U$8,'Master Data'!$C$2:$W$2,_xlfn.XLOOKUP($A68,'Master Data'!$B$3:$B$122,'Master Data'!$C$3:$W$122))-$B68)</f>
        <v>25000</v>
      </c>
      <c r="V68" s="176" cm="1">
        <f t="array" ref="V68">10^3*(_xlfn.XLOOKUP(V$8,'Master Data'!$C$2:$W$2,_xlfn.XLOOKUP($A68,'Master Data'!$B$3:$B$122,'Master Data'!$C$3:$W$122))-$B68)</f>
        <v>25000</v>
      </c>
      <c r="W68" s="176" cm="1">
        <f t="array" ref="W68">10^3*(_xlfn.XLOOKUP(W$8,'Master Data'!$C$2:$W$2,_xlfn.XLOOKUP($A68,'Master Data'!$B$3:$B$122,'Master Data'!$C$3:$W$122))-$B68)</f>
        <v>20000</v>
      </c>
      <c r="X68" s="176" cm="1">
        <f t="array" ref="X68">10^3*(_xlfn.XLOOKUP(X$8,'Master Data'!$C$2:$W$2,_xlfn.XLOOKUP($A68,'Master Data'!$B$3:$B$122,'Master Data'!$C$3:$W$122))-$B68)</f>
        <v>20000</v>
      </c>
      <c r="Y68" s="177" cm="1">
        <f t="array" ref="Y68">10^3*(_xlfn.XLOOKUP(Y$8,'Master Data'!$C$2:$W$2,_xlfn.XLOOKUP($A68,'Master Data'!$B$3:$B$122,'Master Data'!$C$3:$W$122))-$B68)</f>
        <v>20000</v>
      </c>
      <c r="Z68" s="177" t="e" cm="1">
        <f t="array" ref="Z68">10^3*(_xlfn.XLOOKUP(Z$8,'Master Data'!$C$2:$W$2,_xlfn.XLOOKUP($A68,'Master Data'!$B$3:$B$122,'Master Data'!$C$3:$W$122))-$B68)</f>
        <v>#N/A</v>
      </c>
      <c r="AA68" s="177" t="e" cm="1">
        <f t="array" ref="AA68">10^3*(_xlfn.XLOOKUP(AA$8,'Master Data'!$C$2:$W$2,_xlfn.XLOOKUP($A68,'Master Data'!$B$3:$B$122,'Master Data'!$C$3:$W$122))-$B68)</f>
        <v>#N/A</v>
      </c>
    </row>
    <row r="69" spans="1:27" s="172" customFormat="1" x14ac:dyDescent="0.25">
      <c r="A69" s="173" t="s">
        <v>52</v>
      </c>
      <c r="B69" s="174">
        <v>65</v>
      </c>
      <c r="C69" s="172" t="b">
        <f>ISNUMBER(_xlfn.XMATCH(A69,'Master Data'!$B$3:$B$122))</f>
        <v>1</v>
      </c>
      <c r="E69" s="175" cm="1">
        <f t="array" ref="E69">10^3*(_xlfn.XLOOKUP(E$8,'Master Data'!$C$2:$W$2,_xlfn.XLOOKUP($A69,'Master Data'!$B$3:$B$122,'Master Data'!$C$3:$W$122))-$B69)</f>
        <v>10000</v>
      </c>
      <c r="F69" s="176" cm="1">
        <f t="array" ref="F69">10^3*(_xlfn.XLOOKUP(F$8,'Master Data'!$C$2:$W$2,_xlfn.XLOOKUP($A69,'Master Data'!$B$3:$B$122,'Master Data'!$C$3:$W$122))-$B69)</f>
        <v>10000</v>
      </c>
      <c r="G69" s="176" cm="1">
        <f t="array" ref="G69">10^3*(_xlfn.XLOOKUP(G$8,'Master Data'!$C$2:$W$2,_xlfn.XLOOKUP($A69,'Master Data'!$B$3:$B$122,'Master Data'!$C$3:$W$122))-$B69)</f>
        <v>10000</v>
      </c>
      <c r="H69" s="176" cm="1">
        <f t="array" ref="H69">10^3*(_xlfn.XLOOKUP(H$8,'Master Data'!$C$2:$W$2,_xlfn.XLOOKUP($A69,'Master Data'!$B$3:$B$122,'Master Data'!$C$3:$W$122))-$B69)</f>
        <v>10000</v>
      </c>
      <c r="I69" s="176" cm="1">
        <f t="array" ref="I69">10^3*(_xlfn.XLOOKUP(I$8,'Master Data'!$C$2:$W$2,_xlfn.XLOOKUP($A69,'Master Data'!$B$3:$B$122,'Master Data'!$C$3:$W$122))-$B69)</f>
        <v>10000</v>
      </c>
      <c r="J69" s="176" cm="1">
        <f t="array" ref="J69">10^3*(_xlfn.XLOOKUP(J$8,'Master Data'!$C$2:$W$2,_xlfn.XLOOKUP($A69,'Master Data'!$B$3:$B$122,'Master Data'!$C$3:$W$122))-$B69)</f>
        <v>10000</v>
      </c>
      <c r="K69" s="176" cm="1">
        <f t="array" ref="K69">10^3*(_xlfn.XLOOKUP(K$8,'Master Data'!$C$2:$W$2,_xlfn.XLOOKUP($A69,'Master Data'!$B$3:$B$122,'Master Data'!$C$3:$W$122))-$B69)</f>
        <v>10000</v>
      </c>
      <c r="L69" s="176" cm="1">
        <f t="array" ref="L69">10^3*(_xlfn.XLOOKUP(L$8,'Master Data'!$C$2:$W$2,_xlfn.XLOOKUP($A69,'Master Data'!$B$3:$B$122,'Master Data'!$C$3:$W$122))-$B69)</f>
        <v>10000</v>
      </c>
      <c r="M69" s="176" cm="1">
        <f t="array" ref="M69">10^3*(_xlfn.XLOOKUP(M$8,'Master Data'!$C$2:$W$2,_xlfn.XLOOKUP($A69,'Master Data'!$B$3:$B$122,'Master Data'!$C$3:$W$122))-$B69)</f>
        <v>10000</v>
      </c>
      <c r="N69" s="176" cm="1">
        <f t="array" ref="N69">10^3*(_xlfn.XLOOKUP(N$8,'Master Data'!$C$2:$W$2,_xlfn.XLOOKUP($A69,'Master Data'!$B$3:$B$122,'Master Data'!$C$3:$W$122))-$B69)</f>
        <v>10000</v>
      </c>
      <c r="O69" s="176" cm="1">
        <f t="array" ref="O69">10^3*(_xlfn.XLOOKUP(O$8,'Master Data'!$C$2:$W$2,_xlfn.XLOOKUP($A69,'Master Data'!$B$3:$B$122,'Master Data'!$C$3:$W$122))-$B69)</f>
        <v>10000</v>
      </c>
      <c r="P69" s="176" cm="1">
        <f t="array" ref="P69">10^3*(_xlfn.XLOOKUP(P$8,'Master Data'!$C$2:$W$2,_xlfn.XLOOKUP($A69,'Master Data'!$B$3:$B$122,'Master Data'!$C$3:$W$122))-$B69)</f>
        <v>10000</v>
      </c>
      <c r="Q69" s="176" cm="1">
        <f t="array" ref="Q69">10^3*(_xlfn.XLOOKUP(Q$8,'Master Data'!$C$2:$W$2,_xlfn.XLOOKUP($A69,'Master Data'!$B$3:$B$122,'Master Data'!$C$3:$W$122))-$B69)</f>
        <v>10000</v>
      </c>
      <c r="R69" s="176" cm="1">
        <f t="array" ref="R69">10^3*(_xlfn.XLOOKUP(R$8,'Master Data'!$C$2:$W$2,_xlfn.XLOOKUP($A69,'Master Data'!$B$3:$B$122,'Master Data'!$C$3:$W$122))-$B69)</f>
        <v>10000</v>
      </c>
      <c r="S69" s="176" cm="1">
        <f t="array" ref="S69">10^3*(_xlfn.XLOOKUP(S$8,'Master Data'!$C$2:$W$2,_xlfn.XLOOKUP($A69,'Master Data'!$B$3:$B$122,'Master Data'!$C$3:$W$122))-$B69)</f>
        <v>10000</v>
      </c>
      <c r="T69" s="176" cm="1">
        <f t="array" ref="T69">10^3*(_xlfn.XLOOKUP(T$8,'Master Data'!$C$2:$W$2,_xlfn.XLOOKUP($A69,'Master Data'!$B$3:$B$122,'Master Data'!$C$3:$W$122))-$B69)</f>
        <v>10000</v>
      </c>
      <c r="U69" s="176" cm="1">
        <f t="array" ref="U69">10^3*(_xlfn.XLOOKUP(U$8,'Master Data'!$C$2:$W$2,_xlfn.XLOOKUP($A69,'Master Data'!$B$3:$B$122,'Master Data'!$C$3:$W$122))-$B69)</f>
        <v>10000</v>
      </c>
      <c r="V69" s="176" cm="1">
        <f t="array" ref="V69">10^3*(_xlfn.XLOOKUP(V$8,'Master Data'!$C$2:$W$2,_xlfn.XLOOKUP($A69,'Master Data'!$B$3:$B$122,'Master Data'!$C$3:$W$122))-$B69)</f>
        <v>10000</v>
      </c>
      <c r="W69" s="176" cm="1">
        <f t="array" ref="W69">10^3*(_xlfn.XLOOKUP(W$8,'Master Data'!$C$2:$W$2,_xlfn.XLOOKUP($A69,'Master Data'!$B$3:$B$122,'Master Data'!$C$3:$W$122))-$B69)</f>
        <v>10000</v>
      </c>
      <c r="X69" s="176" cm="1">
        <f t="array" ref="X69">10^3*(_xlfn.XLOOKUP(X$8,'Master Data'!$C$2:$W$2,_xlfn.XLOOKUP($A69,'Master Data'!$B$3:$B$122,'Master Data'!$C$3:$W$122))-$B69)</f>
        <v>10000</v>
      </c>
      <c r="Y69" s="177" cm="1">
        <f t="array" ref="Y69">10^3*(_xlfn.XLOOKUP(Y$8,'Master Data'!$C$2:$W$2,_xlfn.XLOOKUP($A69,'Master Data'!$B$3:$B$122,'Master Data'!$C$3:$W$122))-$B69)</f>
        <v>10000</v>
      </c>
      <c r="Z69" s="177" t="e" cm="1">
        <f t="array" ref="Z69">10^3*(_xlfn.XLOOKUP(Z$8,'Master Data'!$C$2:$W$2,_xlfn.XLOOKUP($A69,'Master Data'!$B$3:$B$122,'Master Data'!$C$3:$W$122))-$B69)</f>
        <v>#N/A</v>
      </c>
      <c r="AA69" s="177" t="e" cm="1">
        <f t="array" ref="AA69">10^3*(_xlfn.XLOOKUP(AA$8,'Master Data'!$C$2:$W$2,_xlfn.XLOOKUP($A69,'Master Data'!$B$3:$B$122,'Master Data'!$C$3:$W$122))-$B69)</f>
        <v>#N/A</v>
      </c>
    </row>
    <row r="70" spans="1:27" s="172" customFormat="1" x14ac:dyDescent="0.25">
      <c r="A70" s="173" t="s">
        <v>17</v>
      </c>
      <c r="B70" s="174">
        <v>60</v>
      </c>
      <c r="C70" s="172" t="b">
        <f>ISNUMBER(_xlfn.XMATCH(A70,'Master Data'!$B$3:$B$122))</f>
        <v>1</v>
      </c>
      <c r="E70" s="175" cm="1">
        <f t="array" ref="E70">10^3*(_xlfn.XLOOKUP(E$8,'Master Data'!$C$2:$W$2,_xlfn.XLOOKUP($A70,'Master Data'!$B$3:$B$122,'Master Data'!$C$3:$W$122))-$B70)</f>
        <v>10000</v>
      </c>
      <c r="F70" s="176" cm="1">
        <f t="array" ref="F70">10^3*(_xlfn.XLOOKUP(F$8,'Master Data'!$C$2:$W$2,_xlfn.XLOOKUP($A70,'Master Data'!$B$3:$B$122,'Master Data'!$C$3:$W$122))-$B70)</f>
        <v>10000</v>
      </c>
      <c r="G70" s="176" cm="1">
        <f t="array" ref="G70">10^3*(_xlfn.XLOOKUP(G$8,'Master Data'!$C$2:$W$2,_xlfn.XLOOKUP($A70,'Master Data'!$B$3:$B$122,'Master Data'!$C$3:$W$122))-$B70)</f>
        <v>8000</v>
      </c>
      <c r="H70" s="176" cm="1">
        <f t="array" ref="H70">10^3*(_xlfn.XLOOKUP(H$8,'Master Data'!$C$2:$W$2,_xlfn.XLOOKUP($A70,'Master Data'!$B$3:$B$122,'Master Data'!$C$3:$W$122))-$B70)</f>
        <v>8000</v>
      </c>
      <c r="I70" s="176" cm="1">
        <f t="array" ref="I70">10^3*(_xlfn.XLOOKUP(I$8,'Master Data'!$C$2:$W$2,_xlfn.XLOOKUP($A70,'Master Data'!$B$3:$B$122,'Master Data'!$C$3:$W$122))-$B70)</f>
        <v>8000</v>
      </c>
      <c r="J70" s="176" cm="1">
        <f t="array" ref="J70">10^3*(_xlfn.XLOOKUP(J$8,'Master Data'!$C$2:$W$2,_xlfn.XLOOKUP($A70,'Master Data'!$B$3:$B$122,'Master Data'!$C$3:$W$122))-$B70)</f>
        <v>8000</v>
      </c>
      <c r="K70" s="176" cm="1">
        <f t="array" ref="K70">10^3*(_xlfn.XLOOKUP(K$8,'Master Data'!$C$2:$W$2,_xlfn.XLOOKUP($A70,'Master Data'!$B$3:$B$122,'Master Data'!$C$3:$W$122))-$B70)</f>
        <v>8000</v>
      </c>
      <c r="L70" s="176" cm="1">
        <f t="array" ref="L70">10^3*(_xlfn.XLOOKUP(L$8,'Master Data'!$C$2:$W$2,_xlfn.XLOOKUP($A70,'Master Data'!$B$3:$B$122,'Master Data'!$C$3:$W$122))-$B70)</f>
        <v>8000</v>
      </c>
      <c r="M70" s="176" cm="1">
        <f t="array" ref="M70">10^3*(_xlfn.XLOOKUP(M$8,'Master Data'!$C$2:$W$2,_xlfn.XLOOKUP($A70,'Master Data'!$B$3:$B$122,'Master Data'!$C$3:$W$122))-$B70)</f>
        <v>8000</v>
      </c>
      <c r="N70" s="176" cm="1">
        <f t="array" ref="N70">10^3*(_xlfn.XLOOKUP(N$8,'Master Data'!$C$2:$W$2,_xlfn.XLOOKUP($A70,'Master Data'!$B$3:$B$122,'Master Data'!$C$3:$W$122))-$B70)</f>
        <v>8000</v>
      </c>
      <c r="O70" s="176" cm="1">
        <f t="array" ref="O70">10^3*(_xlfn.XLOOKUP(O$8,'Master Data'!$C$2:$W$2,_xlfn.XLOOKUP($A70,'Master Data'!$B$3:$B$122,'Master Data'!$C$3:$W$122))-$B70)</f>
        <v>8000</v>
      </c>
      <c r="P70" s="176" cm="1">
        <f t="array" ref="P70">10^3*(_xlfn.XLOOKUP(P$8,'Master Data'!$C$2:$W$2,_xlfn.XLOOKUP($A70,'Master Data'!$B$3:$B$122,'Master Data'!$C$3:$W$122))-$B70)</f>
        <v>10000</v>
      </c>
      <c r="Q70" s="176" cm="1">
        <f t="array" ref="Q70">10^3*(_xlfn.XLOOKUP(Q$8,'Master Data'!$C$2:$W$2,_xlfn.XLOOKUP($A70,'Master Data'!$B$3:$B$122,'Master Data'!$C$3:$W$122))-$B70)</f>
        <v>10000</v>
      </c>
      <c r="R70" s="176" cm="1">
        <f t="array" ref="R70">10^3*(_xlfn.XLOOKUP(R$8,'Master Data'!$C$2:$W$2,_xlfn.XLOOKUP($A70,'Master Data'!$B$3:$B$122,'Master Data'!$C$3:$W$122))-$B70)</f>
        <v>10000</v>
      </c>
      <c r="S70" s="176" cm="1">
        <f t="array" ref="S70">10^3*(_xlfn.XLOOKUP(S$8,'Master Data'!$C$2:$W$2,_xlfn.XLOOKUP($A70,'Master Data'!$B$3:$B$122,'Master Data'!$C$3:$W$122))-$B70)</f>
        <v>8000</v>
      </c>
      <c r="T70" s="176" cm="1">
        <f t="array" ref="T70">10^3*(_xlfn.XLOOKUP(T$8,'Master Data'!$C$2:$W$2,_xlfn.XLOOKUP($A70,'Master Data'!$B$3:$B$122,'Master Data'!$C$3:$W$122))-$B70)</f>
        <v>10000</v>
      </c>
      <c r="U70" s="176" cm="1">
        <f t="array" ref="U70">10^3*(_xlfn.XLOOKUP(U$8,'Master Data'!$C$2:$W$2,_xlfn.XLOOKUP($A70,'Master Data'!$B$3:$B$122,'Master Data'!$C$3:$W$122))-$B70)</f>
        <v>10000</v>
      </c>
      <c r="V70" s="176" cm="1">
        <f t="array" ref="V70">10^3*(_xlfn.XLOOKUP(V$8,'Master Data'!$C$2:$W$2,_xlfn.XLOOKUP($A70,'Master Data'!$B$3:$B$122,'Master Data'!$C$3:$W$122))-$B70)</f>
        <v>10000</v>
      </c>
      <c r="W70" s="176" cm="1">
        <f t="array" ref="W70">10^3*(_xlfn.XLOOKUP(W$8,'Master Data'!$C$2:$W$2,_xlfn.XLOOKUP($A70,'Master Data'!$B$3:$B$122,'Master Data'!$C$3:$W$122))-$B70)</f>
        <v>8000</v>
      </c>
      <c r="X70" s="176" cm="1">
        <f t="array" ref="X70">10^3*(_xlfn.XLOOKUP(X$8,'Master Data'!$C$2:$W$2,_xlfn.XLOOKUP($A70,'Master Data'!$B$3:$B$122,'Master Data'!$C$3:$W$122))-$B70)</f>
        <v>8000</v>
      </c>
      <c r="Y70" s="177" cm="1">
        <f t="array" ref="Y70">10^3*(_xlfn.XLOOKUP(Y$8,'Master Data'!$C$2:$W$2,_xlfn.XLOOKUP($A70,'Master Data'!$B$3:$B$122,'Master Data'!$C$3:$W$122))-$B70)</f>
        <v>8000</v>
      </c>
      <c r="Z70" s="177" t="e" cm="1">
        <f t="array" ref="Z70">10^3*(_xlfn.XLOOKUP(Z$8,'Master Data'!$C$2:$W$2,_xlfn.XLOOKUP($A70,'Master Data'!$B$3:$B$122,'Master Data'!$C$3:$W$122))-$B70)</f>
        <v>#N/A</v>
      </c>
      <c r="AA70" s="177" t="e" cm="1">
        <f t="array" ref="AA70">10^3*(_xlfn.XLOOKUP(AA$8,'Master Data'!$C$2:$W$2,_xlfn.XLOOKUP($A70,'Master Data'!$B$3:$B$122,'Master Data'!$C$3:$W$122))-$B70)</f>
        <v>#N/A</v>
      </c>
    </row>
    <row r="71" spans="1:27" s="172" customFormat="1" x14ac:dyDescent="0.25">
      <c r="A71" s="173" t="s">
        <v>114</v>
      </c>
      <c r="B71" s="174">
        <v>75</v>
      </c>
      <c r="C71" s="172" t="b">
        <f>ISNUMBER(_xlfn.XMATCH(A71,'Master Data'!$B$3:$B$122))</f>
        <v>1</v>
      </c>
      <c r="E71" s="175" cm="1">
        <f t="array" ref="E71">10^3*(_xlfn.XLOOKUP(E$8,'Master Data'!$C$2:$W$2,_xlfn.XLOOKUP($A71,'Master Data'!$B$3:$B$122,'Master Data'!$C$3:$W$122))-$B71)</f>
        <v>10000</v>
      </c>
      <c r="F71" s="176" cm="1">
        <f t="array" ref="F71">10^3*(_xlfn.XLOOKUP(F$8,'Master Data'!$C$2:$W$2,_xlfn.XLOOKUP($A71,'Master Data'!$B$3:$B$122,'Master Data'!$C$3:$W$122))-$B71)</f>
        <v>10000</v>
      </c>
      <c r="G71" s="176" cm="1">
        <f t="array" ref="G71">10^3*(_xlfn.XLOOKUP(G$8,'Master Data'!$C$2:$W$2,_xlfn.XLOOKUP($A71,'Master Data'!$B$3:$B$122,'Master Data'!$C$3:$W$122))-$B71)</f>
        <v>5000</v>
      </c>
      <c r="H71" s="176" cm="1">
        <f t="array" ref="H71">10^3*(_xlfn.XLOOKUP(H$8,'Master Data'!$C$2:$W$2,_xlfn.XLOOKUP($A71,'Master Data'!$B$3:$B$122,'Master Data'!$C$3:$W$122))-$B71)</f>
        <v>5000</v>
      </c>
      <c r="I71" s="176" cm="1">
        <f t="array" ref="I71">10^3*(_xlfn.XLOOKUP(I$8,'Master Data'!$C$2:$W$2,_xlfn.XLOOKUP($A71,'Master Data'!$B$3:$B$122,'Master Data'!$C$3:$W$122))-$B71)</f>
        <v>5000</v>
      </c>
      <c r="J71" s="176" cm="1">
        <f t="array" ref="J71">10^3*(_xlfn.XLOOKUP(J$8,'Master Data'!$C$2:$W$2,_xlfn.XLOOKUP($A71,'Master Data'!$B$3:$B$122,'Master Data'!$C$3:$W$122))-$B71)</f>
        <v>5000</v>
      </c>
      <c r="K71" s="176" cm="1">
        <f t="array" ref="K71">10^3*(_xlfn.XLOOKUP(K$8,'Master Data'!$C$2:$W$2,_xlfn.XLOOKUP($A71,'Master Data'!$B$3:$B$122,'Master Data'!$C$3:$W$122))-$B71)</f>
        <v>5000</v>
      </c>
      <c r="L71" s="176" cm="1">
        <f t="array" ref="L71">10^3*(_xlfn.XLOOKUP(L$8,'Master Data'!$C$2:$W$2,_xlfn.XLOOKUP($A71,'Master Data'!$B$3:$B$122,'Master Data'!$C$3:$W$122))-$B71)</f>
        <v>5000</v>
      </c>
      <c r="M71" s="176" cm="1">
        <f t="array" ref="M71">10^3*(_xlfn.XLOOKUP(M$8,'Master Data'!$C$2:$W$2,_xlfn.XLOOKUP($A71,'Master Data'!$B$3:$B$122,'Master Data'!$C$3:$W$122))-$B71)</f>
        <v>5000</v>
      </c>
      <c r="N71" s="176" cm="1">
        <f t="array" ref="N71">10^3*(_xlfn.XLOOKUP(N$8,'Master Data'!$C$2:$W$2,_xlfn.XLOOKUP($A71,'Master Data'!$B$3:$B$122,'Master Data'!$C$3:$W$122))-$B71)</f>
        <v>5000</v>
      </c>
      <c r="O71" s="176" cm="1">
        <f t="array" ref="O71">10^3*(_xlfn.XLOOKUP(O$8,'Master Data'!$C$2:$W$2,_xlfn.XLOOKUP($A71,'Master Data'!$B$3:$B$122,'Master Data'!$C$3:$W$122))-$B71)</f>
        <v>5000</v>
      </c>
      <c r="P71" s="176" cm="1">
        <f t="array" ref="P71">10^3*(_xlfn.XLOOKUP(P$8,'Master Data'!$C$2:$W$2,_xlfn.XLOOKUP($A71,'Master Data'!$B$3:$B$122,'Master Data'!$C$3:$W$122))-$B71)</f>
        <v>10000</v>
      </c>
      <c r="Q71" s="176" cm="1">
        <f t="array" ref="Q71">10^3*(_xlfn.XLOOKUP(Q$8,'Master Data'!$C$2:$W$2,_xlfn.XLOOKUP($A71,'Master Data'!$B$3:$B$122,'Master Data'!$C$3:$W$122))-$B71)</f>
        <v>10000</v>
      </c>
      <c r="R71" s="176" cm="1">
        <f t="array" ref="R71">10^3*(_xlfn.XLOOKUP(R$8,'Master Data'!$C$2:$W$2,_xlfn.XLOOKUP($A71,'Master Data'!$B$3:$B$122,'Master Data'!$C$3:$W$122))-$B71)</f>
        <v>10000</v>
      </c>
      <c r="S71" s="176" cm="1">
        <f t="array" ref="S71">10^3*(_xlfn.XLOOKUP(S$8,'Master Data'!$C$2:$W$2,_xlfn.XLOOKUP($A71,'Master Data'!$B$3:$B$122,'Master Data'!$C$3:$W$122))-$B71)</f>
        <v>5000</v>
      </c>
      <c r="T71" s="176" cm="1">
        <f t="array" ref="T71">10^3*(_xlfn.XLOOKUP(T$8,'Master Data'!$C$2:$W$2,_xlfn.XLOOKUP($A71,'Master Data'!$B$3:$B$122,'Master Data'!$C$3:$W$122))-$B71)</f>
        <v>10000</v>
      </c>
      <c r="U71" s="176" cm="1">
        <f t="array" ref="U71">10^3*(_xlfn.XLOOKUP(U$8,'Master Data'!$C$2:$W$2,_xlfn.XLOOKUP($A71,'Master Data'!$B$3:$B$122,'Master Data'!$C$3:$W$122))-$B71)</f>
        <v>10000</v>
      </c>
      <c r="V71" s="176" cm="1">
        <f t="array" ref="V71">10^3*(_xlfn.XLOOKUP(V$8,'Master Data'!$C$2:$W$2,_xlfn.XLOOKUP($A71,'Master Data'!$B$3:$B$122,'Master Data'!$C$3:$W$122))-$B71)</f>
        <v>10000</v>
      </c>
      <c r="W71" s="176" cm="1">
        <f t="array" ref="W71">10^3*(_xlfn.XLOOKUP(W$8,'Master Data'!$C$2:$W$2,_xlfn.XLOOKUP($A71,'Master Data'!$B$3:$B$122,'Master Data'!$C$3:$W$122))-$B71)</f>
        <v>5000</v>
      </c>
      <c r="X71" s="176" cm="1">
        <f t="array" ref="X71">10^3*(_xlfn.XLOOKUP(X$8,'Master Data'!$C$2:$W$2,_xlfn.XLOOKUP($A71,'Master Data'!$B$3:$B$122,'Master Data'!$C$3:$W$122))-$B71)</f>
        <v>5000</v>
      </c>
      <c r="Y71" s="177" cm="1">
        <f t="array" ref="Y71">10^3*(_xlfn.XLOOKUP(Y$8,'Master Data'!$C$2:$W$2,_xlfn.XLOOKUP($A71,'Master Data'!$B$3:$B$122,'Master Data'!$C$3:$W$122))-$B71)</f>
        <v>5000</v>
      </c>
      <c r="Z71" s="177" t="e" cm="1">
        <f t="array" ref="Z71">10^3*(_xlfn.XLOOKUP(Z$8,'Master Data'!$C$2:$W$2,_xlfn.XLOOKUP($A71,'Master Data'!$B$3:$B$122,'Master Data'!$C$3:$W$122))-$B71)</f>
        <v>#N/A</v>
      </c>
      <c r="AA71" s="177" t="e" cm="1">
        <f t="array" ref="AA71">10^3*(_xlfn.XLOOKUP(AA$8,'Master Data'!$C$2:$W$2,_xlfn.XLOOKUP($A71,'Master Data'!$B$3:$B$122,'Master Data'!$C$3:$W$122))-$B71)</f>
        <v>#N/A</v>
      </c>
    </row>
    <row r="72" spans="1:27" s="172" customFormat="1" x14ac:dyDescent="0.25">
      <c r="A72" s="173" t="s">
        <v>115</v>
      </c>
      <c r="B72" s="174">
        <v>65</v>
      </c>
      <c r="C72" s="172" t="b">
        <f>ISNUMBER(_xlfn.XMATCH(A72,'Master Data'!$B$3:$B$122))</f>
        <v>1</v>
      </c>
      <c r="E72" s="175" cm="1">
        <f t="array" ref="E72">10^3*(_xlfn.XLOOKUP(E$8,'Master Data'!$C$2:$W$2,_xlfn.XLOOKUP($A72,'Master Data'!$B$3:$B$122,'Master Data'!$C$3:$W$122))-$B72)</f>
        <v>10000</v>
      </c>
      <c r="F72" s="176" cm="1">
        <f t="array" ref="F72">10^3*(_xlfn.XLOOKUP(F$8,'Master Data'!$C$2:$W$2,_xlfn.XLOOKUP($A72,'Master Data'!$B$3:$B$122,'Master Data'!$C$3:$W$122))-$B72)</f>
        <v>10000</v>
      </c>
      <c r="G72" s="176" cm="1">
        <f t="array" ref="G72">10^3*(_xlfn.XLOOKUP(G$8,'Master Data'!$C$2:$W$2,_xlfn.XLOOKUP($A72,'Master Data'!$B$3:$B$122,'Master Data'!$C$3:$W$122))-$B72)</f>
        <v>10000</v>
      </c>
      <c r="H72" s="176" cm="1">
        <f t="array" ref="H72">10^3*(_xlfn.XLOOKUP(H$8,'Master Data'!$C$2:$W$2,_xlfn.XLOOKUP($A72,'Master Data'!$B$3:$B$122,'Master Data'!$C$3:$W$122))-$B72)</f>
        <v>10000</v>
      </c>
      <c r="I72" s="176" cm="1">
        <f t="array" ref="I72">10^3*(_xlfn.XLOOKUP(I$8,'Master Data'!$C$2:$W$2,_xlfn.XLOOKUP($A72,'Master Data'!$B$3:$B$122,'Master Data'!$C$3:$W$122))-$B72)</f>
        <v>10000</v>
      </c>
      <c r="J72" s="176" cm="1">
        <f t="array" ref="J72">10^3*(_xlfn.XLOOKUP(J$8,'Master Data'!$C$2:$W$2,_xlfn.XLOOKUP($A72,'Master Data'!$B$3:$B$122,'Master Data'!$C$3:$W$122))-$B72)</f>
        <v>10000</v>
      </c>
      <c r="K72" s="176" cm="1">
        <f t="array" ref="K72">10^3*(_xlfn.XLOOKUP(K$8,'Master Data'!$C$2:$W$2,_xlfn.XLOOKUP($A72,'Master Data'!$B$3:$B$122,'Master Data'!$C$3:$W$122))-$B72)</f>
        <v>10000</v>
      </c>
      <c r="L72" s="176" cm="1">
        <f t="array" ref="L72">10^3*(_xlfn.XLOOKUP(L$8,'Master Data'!$C$2:$W$2,_xlfn.XLOOKUP($A72,'Master Data'!$B$3:$B$122,'Master Data'!$C$3:$W$122))-$B72)</f>
        <v>10000</v>
      </c>
      <c r="M72" s="176" cm="1">
        <f t="array" ref="M72">10^3*(_xlfn.XLOOKUP(M$8,'Master Data'!$C$2:$W$2,_xlfn.XLOOKUP($A72,'Master Data'!$B$3:$B$122,'Master Data'!$C$3:$W$122))-$B72)</f>
        <v>10000</v>
      </c>
      <c r="N72" s="176" cm="1">
        <f t="array" ref="N72">10^3*(_xlfn.XLOOKUP(N$8,'Master Data'!$C$2:$W$2,_xlfn.XLOOKUP($A72,'Master Data'!$B$3:$B$122,'Master Data'!$C$3:$W$122))-$B72)</f>
        <v>10000</v>
      </c>
      <c r="O72" s="176" cm="1">
        <f t="array" ref="O72">10^3*(_xlfn.XLOOKUP(O$8,'Master Data'!$C$2:$W$2,_xlfn.XLOOKUP($A72,'Master Data'!$B$3:$B$122,'Master Data'!$C$3:$W$122))-$B72)</f>
        <v>10000</v>
      </c>
      <c r="P72" s="176" cm="1">
        <f t="array" ref="P72">10^3*(_xlfn.XLOOKUP(P$8,'Master Data'!$C$2:$W$2,_xlfn.XLOOKUP($A72,'Master Data'!$B$3:$B$122,'Master Data'!$C$3:$W$122))-$B72)</f>
        <v>10000</v>
      </c>
      <c r="Q72" s="176" cm="1">
        <f t="array" ref="Q72">10^3*(_xlfn.XLOOKUP(Q$8,'Master Data'!$C$2:$W$2,_xlfn.XLOOKUP($A72,'Master Data'!$B$3:$B$122,'Master Data'!$C$3:$W$122))-$B72)</f>
        <v>10000</v>
      </c>
      <c r="R72" s="176" cm="1">
        <f t="array" ref="R72">10^3*(_xlfn.XLOOKUP(R$8,'Master Data'!$C$2:$W$2,_xlfn.XLOOKUP($A72,'Master Data'!$B$3:$B$122,'Master Data'!$C$3:$W$122))-$B72)</f>
        <v>15000</v>
      </c>
      <c r="S72" s="176" cm="1">
        <f t="array" ref="S72">10^3*(_xlfn.XLOOKUP(S$8,'Master Data'!$C$2:$W$2,_xlfn.XLOOKUP($A72,'Master Data'!$B$3:$B$122,'Master Data'!$C$3:$W$122))-$B72)</f>
        <v>10000</v>
      </c>
      <c r="T72" s="176" cm="1">
        <f t="array" ref="T72">10^3*(_xlfn.XLOOKUP(T$8,'Master Data'!$C$2:$W$2,_xlfn.XLOOKUP($A72,'Master Data'!$B$3:$B$122,'Master Data'!$C$3:$W$122))-$B72)</f>
        <v>10000</v>
      </c>
      <c r="U72" s="176" cm="1">
        <f t="array" ref="U72">10^3*(_xlfn.XLOOKUP(U$8,'Master Data'!$C$2:$W$2,_xlfn.XLOOKUP($A72,'Master Data'!$B$3:$B$122,'Master Data'!$C$3:$W$122))-$B72)</f>
        <v>10000</v>
      </c>
      <c r="V72" s="176" cm="1">
        <f t="array" ref="V72">10^3*(_xlfn.XLOOKUP(V$8,'Master Data'!$C$2:$W$2,_xlfn.XLOOKUP($A72,'Master Data'!$B$3:$B$122,'Master Data'!$C$3:$W$122))-$B72)</f>
        <v>10000</v>
      </c>
      <c r="W72" s="176" cm="1">
        <f t="array" ref="W72">10^3*(_xlfn.XLOOKUP(W$8,'Master Data'!$C$2:$W$2,_xlfn.XLOOKUP($A72,'Master Data'!$B$3:$B$122,'Master Data'!$C$3:$W$122))-$B72)</f>
        <v>10000</v>
      </c>
      <c r="X72" s="176" cm="1">
        <f t="array" ref="X72">10^3*(_xlfn.XLOOKUP(X$8,'Master Data'!$C$2:$W$2,_xlfn.XLOOKUP($A72,'Master Data'!$B$3:$B$122,'Master Data'!$C$3:$W$122))-$B72)</f>
        <v>10000</v>
      </c>
      <c r="Y72" s="177" cm="1">
        <f t="array" ref="Y72">10^3*(_xlfn.XLOOKUP(Y$8,'Master Data'!$C$2:$W$2,_xlfn.XLOOKUP($A72,'Master Data'!$B$3:$B$122,'Master Data'!$C$3:$W$122))-$B72)</f>
        <v>10000</v>
      </c>
      <c r="Z72" s="177" t="e" cm="1">
        <f t="array" ref="Z72">10^3*(_xlfn.XLOOKUP(Z$8,'Master Data'!$C$2:$W$2,_xlfn.XLOOKUP($A72,'Master Data'!$B$3:$B$122,'Master Data'!$C$3:$W$122))-$B72)</f>
        <v>#N/A</v>
      </c>
      <c r="AA72" s="177" t="e" cm="1">
        <f t="array" ref="AA72">10^3*(_xlfn.XLOOKUP(AA$8,'Master Data'!$C$2:$W$2,_xlfn.XLOOKUP($A72,'Master Data'!$B$3:$B$122,'Master Data'!$C$3:$W$122))-$B72)</f>
        <v>#N/A</v>
      </c>
    </row>
    <row r="73" spans="1:27" s="172" customFormat="1" x14ac:dyDescent="0.25">
      <c r="A73" s="173" t="s">
        <v>116</v>
      </c>
      <c r="B73" s="174">
        <v>77</v>
      </c>
      <c r="C73" s="172" t="b">
        <f>ISNUMBER(_xlfn.XMATCH(A73,'Master Data'!$B$3:$B$122))</f>
        <v>1</v>
      </c>
      <c r="E73" s="175" cm="1">
        <f t="array" ref="E73">10^3*(_xlfn.XLOOKUP(E$8,'Master Data'!$C$2:$W$2,_xlfn.XLOOKUP($A73,'Master Data'!$B$3:$B$122,'Master Data'!$C$3:$W$122))-$B73)</f>
        <v>8000</v>
      </c>
      <c r="F73" s="176" cm="1">
        <f t="array" ref="F73">10^3*(_xlfn.XLOOKUP(F$8,'Master Data'!$C$2:$W$2,_xlfn.XLOOKUP($A73,'Master Data'!$B$3:$B$122,'Master Data'!$C$3:$W$122))-$B73)</f>
        <v>8000</v>
      </c>
      <c r="G73" s="176" cm="1">
        <f t="array" ref="G73">10^3*(_xlfn.XLOOKUP(G$8,'Master Data'!$C$2:$W$2,_xlfn.XLOOKUP($A73,'Master Data'!$B$3:$B$122,'Master Data'!$C$3:$W$122))-$B73)</f>
        <v>8000</v>
      </c>
      <c r="H73" s="176" cm="1">
        <f t="array" ref="H73">10^3*(_xlfn.XLOOKUP(H$8,'Master Data'!$C$2:$W$2,_xlfn.XLOOKUP($A73,'Master Data'!$B$3:$B$122,'Master Data'!$C$3:$W$122))-$B73)</f>
        <v>8000</v>
      </c>
      <c r="I73" s="176" cm="1">
        <f t="array" ref="I73">10^3*(_xlfn.XLOOKUP(I$8,'Master Data'!$C$2:$W$2,_xlfn.XLOOKUP($A73,'Master Data'!$B$3:$B$122,'Master Data'!$C$3:$W$122))-$B73)</f>
        <v>8000</v>
      </c>
      <c r="J73" s="176" cm="1">
        <f t="array" ref="J73">10^3*(_xlfn.XLOOKUP(J$8,'Master Data'!$C$2:$W$2,_xlfn.XLOOKUP($A73,'Master Data'!$B$3:$B$122,'Master Data'!$C$3:$W$122))-$B73)</f>
        <v>8000</v>
      </c>
      <c r="K73" s="176" cm="1">
        <f t="array" ref="K73">10^3*(_xlfn.XLOOKUP(K$8,'Master Data'!$C$2:$W$2,_xlfn.XLOOKUP($A73,'Master Data'!$B$3:$B$122,'Master Data'!$C$3:$W$122))-$B73)</f>
        <v>8000</v>
      </c>
      <c r="L73" s="176" cm="1">
        <f t="array" ref="L73">10^3*(_xlfn.XLOOKUP(L$8,'Master Data'!$C$2:$W$2,_xlfn.XLOOKUP($A73,'Master Data'!$B$3:$B$122,'Master Data'!$C$3:$W$122))-$B73)</f>
        <v>8000</v>
      </c>
      <c r="M73" s="176" cm="1">
        <f t="array" ref="M73">10^3*(_xlfn.XLOOKUP(M$8,'Master Data'!$C$2:$W$2,_xlfn.XLOOKUP($A73,'Master Data'!$B$3:$B$122,'Master Data'!$C$3:$W$122))-$B73)</f>
        <v>8000</v>
      </c>
      <c r="N73" s="176" cm="1">
        <f t="array" ref="N73">10^3*(_xlfn.XLOOKUP(N$8,'Master Data'!$C$2:$W$2,_xlfn.XLOOKUP($A73,'Master Data'!$B$3:$B$122,'Master Data'!$C$3:$W$122))-$B73)</f>
        <v>8000</v>
      </c>
      <c r="O73" s="176" cm="1">
        <f t="array" ref="O73">10^3*(_xlfn.XLOOKUP(O$8,'Master Data'!$C$2:$W$2,_xlfn.XLOOKUP($A73,'Master Data'!$B$3:$B$122,'Master Data'!$C$3:$W$122))-$B73)</f>
        <v>8000</v>
      </c>
      <c r="P73" s="176" cm="1">
        <f t="array" ref="P73">10^3*(_xlfn.XLOOKUP(P$8,'Master Data'!$C$2:$W$2,_xlfn.XLOOKUP($A73,'Master Data'!$B$3:$B$122,'Master Data'!$C$3:$W$122))-$B73)</f>
        <v>8000</v>
      </c>
      <c r="Q73" s="176" cm="1">
        <f t="array" ref="Q73">10^3*(_xlfn.XLOOKUP(Q$8,'Master Data'!$C$2:$W$2,_xlfn.XLOOKUP($A73,'Master Data'!$B$3:$B$122,'Master Data'!$C$3:$W$122))-$B73)</f>
        <v>8000</v>
      </c>
      <c r="R73" s="176" cm="1">
        <f t="array" ref="R73">10^3*(_xlfn.XLOOKUP(R$8,'Master Data'!$C$2:$W$2,_xlfn.XLOOKUP($A73,'Master Data'!$B$3:$B$122,'Master Data'!$C$3:$W$122))-$B73)</f>
        <v>8000</v>
      </c>
      <c r="S73" s="176" cm="1">
        <f t="array" ref="S73">10^3*(_xlfn.XLOOKUP(S$8,'Master Data'!$C$2:$W$2,_xlfn.XLOOKUP($A73,'Master Data'!$B$3:$B$122,'Master Data'!$C$3:$W$122))-$B73)</f>
        <v>8000</v>
      </c>
      <c r="T73" s="176" cm="1">
        <f t="array" ref="T73">10^3*(_xlfn.XLOOKUP(T$8,'Master Data'!$C$2:$W$2,_xlfn.XLOOKUP($A73,'Master Data'!$B$3:$B$122,'Master Data'!$C$3:$W$122))-$B73)</f>
        <v>8000</v>
      </c>
      <c r="U73" s="176" cm="1">
        <f t="array" ref="U73">10^3*(_xlfn.XLOOKUP(U$8,'Master Data'!$C$2:$W$2,_xlfn.XLOOKUP($A73,'Master Data'!$B$3:$B$122,'Master Data'!$C$3:$W$122))-$B73)</f>
        <v>8000</v>
      </c>
      <c r="V73" s="176" cm="1">
        <f t="array" ref="V73">10^3*(_xlfn.XLOOKUP(V$8,'Master Data'!$C$2:$W$2,_xlfn.XLOOKUP($A73,'Master Data'!$B$3:$B$122,'Master Data'!$C$3:$W$122))-$B73)</f>
        <v>8000</v>
      </c>
      <c r="W73" s="176" cm="1">
        <f t="array" ref="W73">10^3*(_xlfn.XLOOKUP(W$8,'Master Data'!$C$2:$W$2,_xlfn.XLOOKUP($A73,'Master Data'!$B$3:$B$122,'Master Data'!$C$3:$W$122))-$B73)</f>
        <v>8000</v>
      </c>
      <c r="X73" s="176" cm="1">
        <f t="array" ref="X73">10^3*(_xlfn.XLOOKUP(X$8,'Master Data'!$C$2:$W$2,_xlfn.XLOOKUP($A73,'Master Data'!$B$3:$B$122,'Master Data'!$C$3:$W$122))-$B73)</f>
        <v>8000</v>
      </c>
      <c r="Y73" s="177" cm="1">
        <f t="array" ref="Y73">10^3*(_xlfn.XLOOKUP(Y$8,'Master Data'!$C$2:$W$2,_xlfn.XLOOKUP($A73,'Master Data'!$B$3:$B$122,'Master Data'!$C$3:$W$122))-$B73)</f>
        <v>8000</v>
      </c>
      <c r="Z73" s="177" t="e" cm="1">
        <f t="array" ref="Z73">10^3*(_xlfn.XLOOKUP(Z$8,'Master Data'!$C$2:$W$2,_xlfn.XLOOKUP($A73,'Master Data'!$B$3:$B$122,'Master Data'!$C$3:$W$122))-$B73)</f>
        <v>#N/A</v>
      </c>
      <c r="AA73" s="177" t="e" cm="1">
        <f t="array" ref="AA73">10^3*(_xlfn.XLOOKUP(AA$8,'Master Data'!$C$2:$W$2,_xlfn.XLOOKUP($A73,'Master Data'!$B$3:$B$122,'Master Data'!$C$3:$W$122))-$B73)</f>
        <v>#N/A</v>
      </c>
    </row>
    <row r="74" spans="1:27" s="172" customFormat="1" x14ac:dyDescent="0.25">
      <c r="A74" s="173" t="s">
        <v>117</v>
      </c>
      <c r="B74" s="174">
        <v>77</v>
      </c>
      <c r="C74" s="172" t="b">
        <f>ISNUMBER(_xlfn.XMATCH(A74,'Master Data'!$B$3:$B$122))</f>
        <v>1</v>
      </c>
      <c r="E74" s="175" cm="1">
        <f t="array" ref="E74">10^3*(_xlfn.XLOOKUP(E$8,'Master Data'!$C$2:$W$2,_xlfn.XLOOKUP($A74,'Master Data'!$B$3:$B$122,'Master Data'!$C$3:$W$122))-$B74)</f>
        <v>8000</v>
      </c>
      <c r="F74" s="176" cm="1">
        <f t="array" ref="F74">10^3*(_xlfn.XLOOKUP(F$8,'Master Data'!$C$2:$W$2,_xlfn.XLOOKUP($A74,'Master Data'!$B$3:$B$122,'Master Data'!$C$3:$W$122))-$B74)</f>
        <v>8000</v>
      </c>
      <c r="G74" s="176" cm="1">
        <f t="array" ref="G74">10^3*(_xlfn.XLOOKUP(G$8,'Master Data'!$C$2:$W$2,_xlfn.XLOOKUP($A74,'Master Data'!$B$3:$B$122,'Master Data'!$C$3:$W$122))-$B74)</f>
        <v>8000</v>
      </c>
      <c r="H74" s="176" cm="1">
        <f t="array" ref="H74">10^3*(_xlfn.XLOOKUP(H$8,'Master Data'!$C$2:$W$2,_xlfn.XLOOKUP($A74,'Master Data'!$B$3:$B$122,'Master Data'!$C$3:$W$122))-$B74)</f>
        <v>8000</v>
      </c>
      <c r="I74" s="176" cm="1">
        <f t="array" ref="I74">10^3*(_xlfn.XLOOKUP(I$8,'Master Data'!$C$2:$W$2,_xlfn.XLOOKUP($A74,'Master Data'!$B$3:$B$122,'Master Data'!$C$3:$W$122))-$B74)</f>
        <v>8000</v>
      </c>
      <c r="J74" s="176" cm="1">
        <f t="array" ref="J74">10^3*(_xlfn.XLOOKUP(J$8,'Master Data'!$C$2:$W$2,_xlfn.XLOOKUP($A74,'Master Data'!$B$3:$B$122,'Master Data'!$C$3:$W$122))-$B74)</f>
        <v>8000</v>
      </c>
      <c r="K74" s="176" cm="1">
        <f t="array" ref="K74">10^3*(_xlfn.XLOOKUP(K$8,'Master Data'!$C$2:$W$2,_xlfn.XLOOKUP($A74,'Master Data'!$B$3:$B$122,'Master Data'!$C$3:$W$122))-$B74)</f>
        <v>8000</v>
      </c>
      <c r="L74" s="176" cm="1">
        <f t="array" ref="L74">10^3*(_xlfn.XLOOKUP(L$8,'Master Data'!$C$2:$W$2,_xlfn.XLOOKUP($A74,'Master Data'!$B$3:$B$122,'Master Data'!$C$3:$W$122))-$B74)</f>
        <v>8000</v>
      </c>
      <c r="M74" s="176" cm="1">
        <f t="array" ref="M74">10^3*(_xlfn.XLOOKUP(M$8,'Master Data'!$C$2:$W$2,_xlfn.XLOOKUP($A74,'Master Data'!$B$3:$B$122,'Master Data'!$C$3:$W$122))-$B74)</f>
        <v>8000</v>
      </c>
      <c r="N74" s="176" cm="1">
        <f t="array" ref="N74">10^3*(_xlfn.XLOOKUP(N$8,'Master Data'!$C$2:$W$2,_xlfn.XLOOKUP($A74,'Master Data'!$B$3:$B$122,'Master Data'!$C$3:$W$122))-$B74)</f>
        <v>8000</v>
      </c>
      <c r="O74" s="176" cm="1">
        <f t="array" ref="O74">10^3*(_xlfn.XLOOKUP(O$8,'Master Data'!$C$2:$W$2,_xlfn.XLOOKUP($A74,'Master Data'!$B$3:$B$122,'Master Data'!$C$3:$W$122))-$B74)</f>
        <v>8000</v>
      </c>
      <c r="P74" s="176" cm="1">
        <f t="array" ref="P74">10^3*(_xlfn.XLOOKUP(P$8,'Master Data'!$C$2:$W$2,_xlfn.XLOOKUP($A74,'Master Data'!$B$3:$B$122,'Master Data'!$C$3:$W$122))-$B74)</f>
        <v>8000</v>
      </c>
      <c r="Q74" s="176" cm="1">
        <f t="array" ref="Q74">10^3*(_xlfn.XLOOKUP(Q$8,'Master Data'!$C$2:$W$2,_xlfn.XLOOKUP($A74,'Master Data'!$B$3:$B$122,'Master Data'!$C$3:$W$122))-$B74)</f>
        <v>8000</v>
      </c>
      <c r="R74" s="176" cm="1">
        <f t="array" ref="R74">10^3*(_xlfn.XLOOKUP(R$8,'Master Data'!$C$2:$W$2,_xlfn.XLOOKUP($A74,'Master Data'!$B$3:$B$122,'Master Data'!$C$3:$W$122))-$B74)</f>
        <v>8000</v>
      </c>
      <c r="S74" s="176" cm="1">
        <f t="array" ref="S74">10^3*(_xlfn.XLOOKUP(S$8,'Master Data'!$C$2:$W$2,_xlfn.XLOOKUP($A74,'Master Data'!$B$3:$B$122,'Master Data'!$C$3:$W$122))-$B74)</f>
        <v>8000</v>
      </c>
      <c r="T74" s="176" cm="1">
        <f t="array" ref="T74">10^3*(_xlfn.XLOOKUP(T$8,'Master Data'!$C$2:$W$2,_xlfn.XLOOKUP($A74,'Master Data'!$B$3:$B$122,'Master Data'!$C$3:$W$122))-$B74)</f>
        <v>8000</v>
      </c>
      <c r="U74" s="176" cm="1">
        <f t="array" ref="U74">10^3*(_xlfn.XLOOKUP(U$8,'Master Data'!$C$2:$W$2,_xlfn.XLOOKUP($A74,'Master Data'!$B$3:$B$122,'Master Data'!$C$3:$W$122))-$B74)</f>
        <v>8000</v>
      </c>
      <c r="V74" s="176" cm="1">
        <f t="array" ref="V74">10^3*(_xlfn.XLOOKUP(V$8,'Master Data'!$C$2:$W$2,_xlfn.XLOOKUP($A74,'Master Data'!$B$3:$B$122,'Master Data'!$C$3:$W$122))-$B74)</f>
        <v>8000</v>
      </c>
      <c r="W74" s="176" cm="1">
        <f t="array" ref="W74">10^3*(_xlfn.XLOOKUP(W$8,'Master Data'!$C$2:$W$2,_xlfn.XLOOKUP($A74,'Master Data'!$B$3:$B$122,'Master Data'!$C$3:$W$122))-$B74)</f>
        <v>8000</v>
      </c>
      <c r="X74" s="176" cm="1">
        <f t="array" ref="X74">10^3*(_xlfn.XLOOKUP(X$8,'Master Data'!$C$2:$W$2,_xlfn.XLOOKUP($A74,'Master Data'!$B$3:$B$122,'Master Data'!$C$3:$W$122))-$B74)</f>
        <v>8000</v>
      </c>
      <c r="Y74" s="177" cm="1">
        <f t="array" ref="Y74">10^3*(_xlfn.XLOOKUP(Y$8,'Master Data'!$C$2:$W$2,_xlfn.XLOOKUP($A74,'Master Data'!$B$3:$B$122,'Master Data'!$C$3:$W$122))-$B74)</f>
        <v>8000</v>
      </c>
      <c r="Z74" s="177" t="e" cm="1">
        <f t="array" ref="Z74">10^3*(_xlfn.XLOOKUP(Z$8,'Master Data'!$C$2:$W$2,_xlfn.XLOOKUP($A74,'Master Data'!$B$3:$B$122,'Master Data'!$C$3:$W$122))-$B74)</f>
        <v>#N/A</v>
      </c>
      <c r="AA74" s="177" t="e" cm="1">
        <f t="array" ref="AA74">10^3*(_xlfn.XLOOKUP(AA$8,'Master Data'!$C$2:$W$2,_xlfn.XLOOKUP($A74,'Master Data'!$B$3:$B$122,'Master Data'!$C$3:$W$122))-$B74)</f>
        <v>#N/A</v>
      </c>
    </row>
    <row r="75" spans="1:27" s="172" customFormat="1" x14ac:dyDescent="0.25">
      <c r="A75" s="173" t="s">
        <v>118</v>
      </c>
      <c r="B75" s="174">
        <v>77</v>
      </c>
      <c r="C75" s="172" t="b">
        <f>ISNUMBER(_xlfn.XMATCH(A75,'Master Data'!$B$3:$B$122))</f>
        <v>1</v>
      </c>
      <c r="E75" s="175" cm="1">
        <f t="array" ref="E75">10^3*(_xlfn.XLOOKUP(E$8,'Master Data'!$C$2:$W$2,_xlfn.XLOOKUP($A75,'Master Data'!$B$3:$B$122,'Master Data'!$C$3:$W$122))-$B75)</f>
        <v>8000</v>
      </c>
      <c r="F75" s="176" cm="1">
        <f t="array" ref="F75">10^3*(_xlfn.XLOOKUP(F$8,'Master Data'!$C$2:$W$2,_xlfn.XLOOKUP($A75,'Master Data'!$B$3:$B$122,'Master Data'!$C$3:$W$122))-$B75)</f>
        <v>8000</v>
      </c>
      <c r="G75" s="176" cm="1">
        <f t="array" ref="G75">10^3*(_xlfn.XLOOKUP(G$8,'Master Data'!$C$2:$W$2,_xlfn.XLOOKUP($A75,'Master Data'!$B$3:$B$122,'Master Data'!$C$3:$W$122))-$B75)</f>
        <v>8000</v>
      </c>
      <c r="H75" s="176" cm="1">
        <f t="array" ref="H75">10^3*(_xlfn.XLOOKUP(H$8,'Master Data'!$C$2:$W$2,_xlfn.XLOOKUP($A75,'Master Data'!$B$3:$B$122,'Master Data'!$C$3:$W$122))-$B75)</f>
        <v>8000</v>
      </c>
      <c r="I75" s="176" cm="1">
        <f t="array" ref="I75">10^3*(_xlfn.XLOOKUP(I$8,'Master Data'!$C$2:$W$2,_xlfn.XLOOKUP($A75,'Master Data'!$B$3:$B$122,'Master Data'!$C$3:$W$122))-$B75)</f>
        <v>8000</v>
      </c>
      <c r="J75" s="176" cm="1">
        <f t="array" ref="J75">10^3*(_xlfn.XLOOKUP(J$8,'Master Data'!$C$2:$W$2,_xlfn.XLOOKUP($A75,'Master Data'!$B$3:$B$122,'Master Data'!$C$3:$W$122))-$B75)</f>
        <v>8000</v>
      </c>
      <c r="K75" s="176" cm="1">
        <f t="array" ref="K75">10^3*(_xlfn.XLOOKUP(K$8,'Master Data'!$C$2:$W$2,_xlfn.XLOOKUP($A75,'Master Data'!$B$3:$B$122,'Master Data'!$C$3:$W$122))-$B75)</f>
        <v>8000</v>
      </c>
      <c r="L75" s="176" cm="1">
        <f t="array" ref="L75">10^3*(_xlfn.XLOOKUP(L$8,'Master Data'!$C$2:$W$2,_xlfn.XLOOKUP($A75,'Master Data'!$B$3:$B$122,'Master Data'!$C$3:$W$122))-$B75)</f>
        <v>8000</v>
      </c>
      <c r="M75" s="176" cm="1">
        <f t="array" ref="M75">10^3*(_xlfn.XLOOKUP(M$8,'Master Data'!$C$2:$W$2,_xlfn.XLOOKUP($A75,'Master Data'!$B$3:$B$122,'Master Data'!$C$3:$W$122))-$B75)</f>
        <v>8000</v>
      </c>
      <c r="N75" s="176" cm="1">
        <f t="array" ref="N75">10^3*(_xlfn.XLOOKUP(N$8,'Master Data'!$C$2:$W$2,_xlfn.XLOOKUP($A75,'Master Data'!$B$3:$B$122,'Master Data'!$C$3:$W$122))-$B75)</f>
        <v>8000</v>
      </c>
      <c r="O75" s="176" cm="1">
        <f t="array" ref="O75">10^3*(_xlfn.XLOOKUP(O$8,'Master Data'!$C$2:$W$2,_xlfn.XLOOKUP($A75,'Master Data'!$B$3:$B$122,'Master Data'!$C$3:$W$122))-$B75)</f>
        <v>8000</v>
      </c>
      <c r="P75" s="176" cm="1">
        <f t="array" ref="P75">10^3*(_xlfn.XLOOKUP(P$8,'Master Data'!$C$2:$W$2,_xlfn.XLOOKUP($A75,'Master Data'!$B$3:$B$122,'Master Data'!$C$3:$W$122))-$B75)</f>
        <v>8000</v>
      </c>
      <c r="Q75" s="176" cm="1">
        <f t="array" ref="Q75">10^3*(_xlfn.XLOOKUP(Q$8,'Master Data'!$C$2:$W$2,_xlfn.XLOOKUP($A75,'Master Data'!$B$3:$B$122,'Master Data'!$C$3:$W$122))-$B75)</f>
        <v>8000</v>
      </c>
      <c r="R75" s="176" cm="1">
        <f t="array" ref="R75">10^3*(_xlfn.XLOOKUP(R$8,'Master Data'!$C$2:$W$2,_xlfn.XLOOKUP($A75,'Master Data'!$B$3:$B$122,'Master Data'!$C$3:$W$122))-$B75)</f>
        <v>8000</v>
      </c>
      <c r="S75" s="176" cm="1">
        <f t="array" ref="S75">10^3*(_xlfn.XLOOKUP(S$8,'Master Data'!$C$2:$W$2,_xlfn.XLOOKUP($A75,'Master Data'!$B$3:$B$122,'Master Data'!$C$3:$W$122))-$B75)</f>
        <v>8000</v>
      </c>
      <c r="T75" s="176" cm="1">
        <f t="array" ref="T75">10^3*(_xlfn.XLOOKUP(T$8,'Master Data'!$C$2:$W$2,_xlfn.XLOOKUP($A75,'Master Data'!$B$3:$B$122,'Master Data'!$C$3:$W$122))-$B75)</f>
        <v>8000</v>
      </c>
      <c r="U75" s="176" cm="1">
        <f t="array" ref="U75">10^3*(_xlfn.XLOOKUP(U$8,'Master Data'!$C$2:$W$2,_xlfn.XLOOKUP($A75,'Master Data'!$B$3:$B$122,'Master Data'!$C$3:$W$122))-$B75)</f>
        <v>8000</v>
      </c>
      <c r="V75" s="176" cm="1">
        <f t="array" ref="V75">10^3*(_xlfn.XLOOKUP(V$8,'Master Data'!$C$2:$W$2,_xlfn.XLOOKUP($A75,'Master Data'!$B$3:$B$122,'Master Data'!$C$3:$W$122))-$B75)</f>
        <v>8000</v>
      </c>
      <c r="W75" s="176" cm="1">
        <f t="array" ref="W75">10^3*(_xlfn.XLOOKUP(W$8,'Master Data'!$C$2:$W$2,_xlfn.XLOOKUP($A75,'Master Data'!$B$3:$B$122,'Master Data'!$C$3:$W$122))-$B75)</f>
        <v>8000</v>
      </c>
      <c r="X75" s="176" cm="1">
        <f t="array" ref="X75">10^3*(_xlfn.XLOOKUP(X$8,'Master Data'!$C$2:$W$2,_xlfn.XLOOKUP($A75,'Master Data'!$B$3:$B$122,'Master Data'!$C$3:$W$122))-$B75)</f>
        <v>8000</v>
      </c>
      <c r="Y75" s="177" cm="1">
        <f t="array" ref="Y75">10^3*(_xlfn.XLOOKUP(Y$8,'Master Data'!$C$2:$W$2,_xlfn.XLOOKUP($A75,'Master Data'!$B$3:$B$122,'Master Data'!$C$3:$W$122))-$B75)</f>
        <v>8000</v>
      </c>
      <c r="Z75" s="177" t="e" cm="1">
        <f t="array" ref="Z75">10^3*(_xlfn.XLOOKUP(Z$8,'Master Data'!$C$2:$W$2,_xlfn.XLOOKUP($A75,'Master Data'!$B$3:$B$122,'Master Data'!$C$3:$W$122))-$B75)</f>
        <v>#N/A</v>
      </c>
      <c r="AA75" s="177" t="e" cm="1">
        <f t="array" ref="AA75">10^3*(_xlfn.XLOOKUP(AA$8,'Master Data'!$C$2:$W$2,_xlfn.XLOOKUP($A75,'Master Data'!$B$3:$B$122,'Master Data'!$C$3:$W$122))-$B75)</f>
        <v>#N/A</v>
      </c>
    </row>
    <row r="76" spans="1:27" s="172" customFormat="1" x14ac:dyDescent="0.25">
      <c r="A76" s="173" t="s">
        <v>119</v>
      </c>
      <c r="B76" s="174">
        <v>77</v>
      </c>
      <c r="C76" s="172" t="b">
        <f>ISNUMBER(_xlfn.XMATCH(A76,'Master Data'!$B$3:$B$122))</f>
        <v>1</v>
      </c>
      <c r="E76" s="175" cm="1">
        <f t="array" ref="E76">10^3*(_xlfn.XLOOKUP(E$8,'Master Data'!$C$2:$W$2,_xlfn.XLOOKUP($A76,'Master Data'!$B$3:$B$122,'Master Data'!$C$3:$W$122))-$B76)</f>
        <v>8000</v>
      </c>
      <c r="F76" s="176" cm="1">
        <f t="array" ref="F76">10^3*(_xlfn.XLOOKUP(F$8,'Master Data'!$C$2:$W$2,_xlfn.XLOOKUP($A76,'Master Data'!$B$3:$B$122,'Master Data'!$C$3:$W$122))-$B76)</f>
        <v>8000</v>
      </c>
      <c r="G76" s="176" cm="1">
        <f t="array" ref="G76">10^3*(_xlfn.XLOOKUP(G$8,'Master Data'!$C$2:$W$2,_xlfn.XLOOKUP($A76,'Master Data'!$B$3:$B$122,'Master Data'!$C$3:$W$122))-$B76)</f>
        <v>8000</v>
      </c>
      <c r="H76" s="176" cm="1">
        <f t="array" ref="H76">10^3*(_xlfn.XLOOKUP(H$8,'Master Data'!$C$2:$W$2,_xlfn.XLOOKUP($A76,'Master Data'!$B$3:$B$122,'Master Data'!$C$3:$W$122))-$B76)</f>
        <v>8000</v>
      </c>
      <c r="I76" s="176" cm="1">
        <f t="array" ref="I76">10^3*(_xlfn.XLOOKUP(I$8,'Master Data'!$C$2:$W$2,_xlfn.XLOOKUP($A76,'Master Data'!$B$3:$B$122,'Master Data'!$C$3:$W$122))-$B76)</f>
        <v>8000</v>
      </c>
      <c r="J76" s="176" cm="1">
        <f t="array" ref="J76">10^3*(_xlfn.XLOOKUP(J$8,'Master Data'!$C$2:$W$2,_xlfn.XLOOKUP($A76,'Master Data'!$B$3:$B$122,'Master Data'!$C$3:$W$122))-$B76)</f>
        <v>8000</v>
      </c>
      <c r="K76" s="176" cm="1">
        <f t="array" ref="K76">10^3*(_xlfn.XLOOKUP(K$8,'Master Data'!$C$2:$W$2,_xlfn.XLOOKUP($A76,'Master Data'!$B$3:$B$122,'Master Data'!$C$3:$W$122))-$B76)</f>
        <v>8000</v>
      </c>
      <c r="L76" s="176" cm="1">
        <f t="array" ref="L76">10^3*(_xlfn.XLOOKUP(L$8,'Master Data'!$C$2:$W$2,_xlfn.XLOOKUP($A76,'Master Data'!$B$3:$B$122,'Master Data'!$C$3:$W$122))-$B76)</f>
        <v>8000</v>
      </c>
      <c r="M76" s="176" cm="1">
        <f t="array" ref="M76">10^3*(_xlfn.XLOOKUP(M$8,'Master Data'!$C$2:$W$2,_xlfn.XLOOKUP($A76,'Master Data'!$B$3:$B$122,'Master Data'!$C$3:$W$122))-$B76)</f>
        <v>8000</v>
      </c>
      <c r="N76" s="176" cm="1">
        <f t="array" ref="N76">10^3*(_xlfn.XLOOKUP(N$8,'Master Data'!$C$2:$W$2,_xlfn.XLOOKUP($A76,'Master Data'!$B$3:$B$122,'Master Data'!$C$3:$W$122))-$B76)</f>
        <v>8000</v>
      </c>
      <c r="O76" s="176" cm="1">
        <f t="array" ref="O76">10^3*(_xlfn.XLOOKUP(O$8,'Master Data'!$C$2:$W$2,_xlfn.XLOOKUP($A76,'Master Data'!$B$3:$B$122,'Master Data'!$C$3:$W$122))-$B76)</f>
        <v>8000</v>
      </c>
      <c r="P76" s="176" cm="1">
        <f t="array" ref="P76">10^3*(_xlfn.XLOOKUP(P$8,'Master Data'!$C$2:$W$2,_xlfn.XLOOKUP($A76,'Master Data'!$B$3:$B$122,'Master Data'!$C$3:$W$122))-$B76)</f>
        <v>8000</v>
      </c>
      <c r="Q76" s="176" cm="1">
        <f t="array" ref="Q76">10^3*(_xlfn.XLOOKUP(Q$8,'Master Data'!$C$2:$W$2,_xlfn.XLOOKUP($A76,'Master Data'!$B$3:$B$122,'Master Data'!$C$3:$W$122))-$B76)</f>
        <v>8000</v>
      </c>
      <c r="R76" s="176" cm="1">
        <f t="array" ref="R76">10^3*(_xlfn.XLOOKUP(R$8,'Master Data'!$C$2:$W$2,_xlfn.XLOOKUP($A76,'Master Data'!$B$3:$B$122,'Master Data'!$C$3:$W$122))-$B76)</f>
        <v>8000</v>
      </c>
      <c r="S76" s="176" cm="1">
        <f t="array" ref="S76">10^3*(_xlfn.XLOOKUP(S$8,'Master Data'!$C$2:$W$2,_xlfn.XLOOKUP($A76,'Master Data'!$B$3:$B$122,'Master Data'!$C$3:$W$122))-$B76)</f>
        <v>8000</v>
      </c>
      <c r="T76" s="176" cm="1">
        <f t="array" ref="T76">10^3*(_xlfn.XLOOKUP(T$8,'Master Data'!$C$2:$W$2,_xlfn.XLOOKUP($A76,'Master Data'!$B$3:$B$122,'Master Data'!$C$3:$W$122))-$B76)</f>
        <v>8000</v>
      </c>
      <c r="U76" s="176" cm="1">
        <f t="array" ref="U76">10^3*(_xlfn.XLOOKUP(U$8,'Master Data'!$C$2:$W$2,_xlfn.XLOOKUP($A76,'Master Data'!$B$3:$B$122,'Master Data'!$C$3:$W$122))-$B76)</f>
        <v>8000</v>
      </c>
      <c r="V76" s="176" cm="1">
        <f t="array" ref="V76">10^3*(_xlfn.XLOOKUP(V$8,'Master Data'!$C$2:$W$2,_xlfn.XLOOKUP($A76,'Master Data'!$B$3:$B$122,'Master Data'!$C$3:$W$122))-$B76)</f>
        <v>8000</v>
      </c>
      <c r="W76" s="176" cm="1">
        <f t="array" ref="W76">10^3*(_xlfn.XLOOKUP(W$8,'Master Data'!$C$2:$W$2,_xlfn.XLOOKUP($A76,'Master Data'!$B$3:$B$122,'Master Data'!$C$3:$W$122))-$B76)</f>
        <v>8000</v>
      </c>
      <c r="X76" s="176" cm="1">
        <f t="array" ref="X76">10^3*(_xlfn.XLOOKUP(X$8,'Master Data'!$C$2:$W$2,_xlfn.XLOOKUP($A76,'Master Data'!$B$3:$B$122,'Master Data'!$C$3:$W$122))-$B76)</f>
        <v>8000</v>
      </c>
      <c r="Y76" s="177" cm="1">
        <f t="array" ref="Y76">10^3*(_xlfn.XLOOKUP(Y$8,'Master Data'!$C$2:$W$2,_xlfn.XLOOKUP($A76,'Master Data'!$B$3:$B$122,'Master Data'!$C$3:$W$122))-$B76)</f>
        <v>8000</v>
      </c>
      <c r="Z76" s="177" t="e" cm="1">
        <f t="array" ref="Z76">10^3*(_xlfn.XLOOKUP(Z$8,'Master Data'!$C$2:$W$2,_xlfn.XLOOKUP($A76,'Master Data'!$B$3:$B$122,'Master Data'!$C$3:$W$122))-$B76)</f>
        <v>#N/A</v>
      </c>
      <c r="AA76" s="177" t="e" cm="1">
        <f t="array" ref="AA76">10^3*(_xlfn.XLOOKUP(AA$8,'Master Data'!$C$2:$W$2,_xlfn.XLOOKUP($A76,'Master Data'!$B$3:$B$122,'Master Data'!$C$3:$W$122))-$B76)</f>
        <v>#N/A</v>
      </c>
    </row>
    <row r="77" spans="1:27" s="172" customFormat="1" x14ac:dyDescent="0.25">
      <c r="A77" s="173" t="s">
        <v>120</v>
      </c>
      <c r="B77" s="174">
        <v>77</v>
      </c>
      <c r="C77" s="172" t="b">
        <f>ISNUMBER(_xlfn.XMATCH(A77,'Master Data'!$B$3:$B$122))</f>
        <v>1</v>
      </c>
      <c r="E77" s="175" cm="1">
        <f t="array" ref="E77">10^3*(_xlfn.XLOOKUP(E$8,'Master Data'!$C$2:$W$2,_xlfn.XLOOKUP($A77,'Master Data'!$B$3:$B$122,'Master Data'!$C$3:$W$122))-$B77)</f>
        <v>8000</v>
      </c>
      <c r="F77" s="176" cm="1">
        <f t="array" ref="F77">10^3*(_xlfn.XLOOKUP(F$8,'Master Data'!$C$2:$W$2,_xlfn.XLOOKUP($A77,'Master Data'!$B$3:$B$122,'Master Data'!$C$3:$W$122))-$B77)</f>
        <v>8000</v>
      </c>
      <c r="G77" s="176" cm="1">
        <f t="array" ref="G77">10^3*(_xlfn.XLOOKUP(G$8,'Master Data'!$C$2:$W$2,_xlfn.XLOOKUP($A77,'Master Data'!$B$3:$B$122,'Master Data'!$C$3:$W$122))-$B77)</f>
        <v>8000</v>
      </c>
      <c r="H77" s="176" cm="1">
        <f t="array" ref="H77">10^3*(_xlfn.XLOOKUP(H$8,'Master Data'!$C$2:$W$2,_xlfn.XLOOKUP($A77,'Master Data'!$B$3:$B$122,'Master Data'!$C$3:$W$122))-$B77)</f>
        <v>8000</v>
      </c>
      <c r="I77" s="176" cm="1">
        <f t="array" ref="I77">10^3*(_xlfn.XLOOKUP(I$8,'Master Data'!$C$2:$W$2,_xlfn.XLOOKUP($A77,'Master Data'!$B$3:$B$122,'Master Data'!$C$3:$W$122))-$B77)</f>
        <v>8000</v>
      </c>
      <c r="J77" s="176" cm="1">
        <f t="array" ref="J77">10^3*(_xlfn.XLOOKUP(J$8,'Master Data'!$C$2:$W$2,_xlfn.XLOOKUP($A77,'Master Data'!$B$3:$B$122,'Master Data'!$C$3:$W$122))-$B77)</f>
        <v>8000</v>
      </c>
      <c r="K77" s="176" cm="1">
        <f t="array" ref="K77">10^3*(_xlfn.XLOOKUP(K$8,'Master Data'!$C$2:$W$2,_xlfn.XLOOKUP($A77,'Master Data'!$B$3:$B$122,'Master Data'!$C$3:$W$122))-$B77)</f>
        <v>8000</v>
      </c>
      <c r="L77" s="176" cm="1">
        <f t="array" ref="L77">10^3*(_xlfn.XLOOKUP(L$8,'Master Data'!$C$2:$W$2,_xlfn.XLOOKUP($A77,'Master Data'!$B$3:$B$122,'Master Data'!$C$3:$W$122))-$B77)</f>
        <v>8000</v>
      </c>
      <c r="M77" s="176" cm="1">
        <f t="array" ref="M77">10^3*(_xlfn.XLOOKUP(M$8,'Master Data'!$C$2:$W$2,_xlfn.XLOOKUP($A77,'Master Data'!$B$3:$B$122,'Master Data'!$C$3:$W$122))-$B77)</f>
        <v>8000</v>
      </c>
      <c r="N77" s="176" cm="1">
        <f t="array" ref="N77">10^3*(_xlfn.XLOOKUP(N$8,'Master Data'!$C$2:$W$2,_xlfn.XLOOKUP($A77,'Master Data'!$B$3:$B$122,'Master Data'!$C$3:$W$122))-$B77)</f>
        <v>8000</v>
      </c>
      <c r="O77" s="176" cm="1">
        <f t="array" ref="O77">10^3*(_xlfn.XLOOKUP(O$8,'Master Data'!$C$2:$W$2,_xlfn.XLOOKUP($A77,'Master Data'!$B$3:$B$122,'Master Data'!$C$3:$W$122))-$B77)</f>
        <v>8000</v>
      </c>
      <c r="P77" s="176" cm="1">
        <f t="array" ref="P77">10^3*(_xlfn.XLOOKUP(P$8,'Master Data'!$C$2:$W$2,_xlfn.XLOOKUP($A77,'Master Data'!$B$3:$B$122,'Master Data'!$C$3:$W$122))-$B77)</f>
        <v>8000</v>
      </c>
      <c r="Q77" s="176" cm="1">
        <f t="array" ref="Q77">10^3*(_xlfn.XLOOKUP(Q$8,'Master Data'!$C$2:$W$2,_xlfn.XLOOKUP($A77,'Master Data'!$B$3:$B$122,'Master Data'!$C$3:$W$122))-$B77)</f>
        <v>8000</v>
      </c>
      <c r="R77" s="176" cm="1">
        <f t="array" ref="R77">10^3*(_xlfn.XLOOKUP(R$8,'Master Data'!$C$2:$W$2,_xlfn.XLOOKUP($A77,'Master Data'!$B$3:$B$122,'Master Data'!$C$3:$W$122))-$B77)</f>
        <v>8000</v>
      </c>
      <c r="S77" s="176" cm="1">
        <f t="array" ref="S77">10^3*(_xlfn.XLOOKUP(S$8,'Master Data'!$C$2:$W$2,_xlfn.XLOOKUP($A77,'Master Data'!$B$3:$B$122,'Master Data'!$C$3:$W$122))-$B77)</f>
        <v>8000</v>
      </c>
      <c r="T77" s="176" cm="1">
        <f t="array" ref="T77">10^3*(_xlfn.XLOOKUP(T$8,'Master Data'!$C$2:$W$2,_xlfn.XLOOKUP($A77,'Master Data'!$B$3:$B$122,'Master Data'!$C$3:$W$122))-$B77)</f>
        <v>8000</v>
      </c>
      <c r="U77" s="176" cm="1">
        <f t="array" ref="U77">10^3*(_xlfn.XLOOKUP(U$8,'Master Data'!$C$2:$W$2,_xlfn.XLOOKUP($A77,'Master Data'!$B$3:$B$122,'Master Data'!$C$3:$W$122))-$B77)</f>
        <v>8000</v>
      </c>
      <c r="V77" s="176" cm="1">
        <f t="array" ref="V77">10^3*(_xlfn.XLOOKUP(V$8,'Master Data'!$C$2:$W$2,_xlfn.XLOOKUP($A77,'Master Data'!$B$3:$B$122,'Master Data'!$C$3:$W$122))-$B77)</f>
        <v>8000</v>
      </c>
      <c r="W77" s="176" cm="1">
        <f t="array" ref="W77">10^3*(_xlfn.XLOOKUP(W$8,'Master Data'!$C$2:$W$2,_xlfn.XLOOKUP($A77,'Master Data'!$B$3:$B$122,'Master Data'!$C$3:$W$122))-$B77)</f>
        <v>8000</v>
      </c>
      <c r="X77" s="176" cm="1">
        <f t="array" ref="X77">10^3*(_xlfn.XLOOKUP(X$8,'Master Data'!$C$2:$W$2,_xlfn.XLOOKUP($A77,'Master Data'!$B$3:$B$122,'Master Data'!$C$3:$W$122))-$B77)</f>
        <v>8000</v>
      </c>
      <c r="Y77" s="177" cm="1">
        <f t="array" ref="Y77">10^3*(_xlfn.XLOOKUP(Y$8,'Master Data'!$C$2:$W$2,_xlfn.XLOOKUP($A77,'Master Data'!$B$3:$B$122,'Master Data'!$C$3:$W$122))-$B77)</f>
        <v>8000</v>
      </c>
      <c r="Z77" s="177" t="e" cm="1">
        <f t="array" ref="Z77">10^3*(_xlfn.XLOOKUP(Z$8,'Master Data'!$C$2:$W$2,_xlfn.XLOOKUP($A77,'Master Data'!$B$3:$B$122,'Master Data'!$C$3:$W$122))-$B77)</f>
        <v>#N/A</v>
      </c>
      <c r="AA77" s="177" t="e" cm="1">
        <f t="array" ref="AA77">10^3*(_xlfn.XLOOKUP(AA$8,'Master Data'!$C$2:$W$2,_xlfn.XLOOKUP($A77,'Master Data'!$B$3:$B$122,'Master Data'!$C$3:$W$122))-$B77)</f>
        <v>#N/A</v>
      </c>
    </row>
    <row r="78" spans="1:27" s="172" customFormat="1" x14ac:dyDescent="0.25">
      <c r="A78" s="173" t="s">
        <v>25</v>
      </c>
      <c r="B78" s="174">
        <v>88</v>
      </c>
      <c r="C78" s="172" t="b">
        <f>ISNUMBER(_xlfn.XMATCH(A78,'Master Data'!$B$3:$B$122))</f>
        <v>1</v>
      </c>
      <c r="E78" s="175" cm="1">
        <f t="array" ref="E78">10^3*(_xlfn.XLOOKUP(E$8,'Master Data'!$C$2:$W$2,_xlfn.XLOOKUP($A78,'Master Data'!$B$3:$B$122,'Master Data'!$C$3:$W$122))-$B78)</f>
        <v>9000</v>
      </c>
      <c r="F78" s="176" cm="1">
        <f t="array" ref="F78">10^3*(_xlfn.XLOOKUP(F$8,'Master Data'!$C$2:$W$2,_xlfn.XLOOKUP($A78,'Master Data'!$B$3:$B$122,'Master Data'!$C$3:$W$122))-$B78)</f>
        <v>9000</v>
      </c>
      <c r="G78" s="176" cm="1">
        <f t="array" ref="G78">10^3*(_xlfn.XLOOKUP(G$8,'Master Data'!$C$2:$W$2,_xlfn.XLOOKUP($A78,'Master Data'!$B$3:$B$122,'Master Data'!$C$3:$W$122))-$B78)</f>
        <v>9000</v>
      </c>
      <c r="H78" s="176" cm="1">
        <f t="array" ref="H78">10^3*(_xlfn.XLOOKUP(H$8,'Master Data'!$C$2:$W$2,_xlfn.XLOOKUP($A78,'Master Data'!$B$3:$B$122,'Master Data'!$C$3:$W$122))-$B78)</f>
        <v>9000</v>
      </c>
      <c r="I78" s="176" cm="1">
        <f t="array" ref="I78">10^3*(_xlfn.XLOOKUP(I$8,'Master Data'!$C$2:$W$2,_xlfn.XLOOKUP($A78,'Master Data'!$B$3:$B$122,'Master Data'!$C$3:$W$122))-$B78)</f>
        <v>9000</v>
      </c>
      <c r="J78" s="176" cm="1">
        <f t="array" ref="J78">10^3*(_xlfn.XLOOKUP(J$8,'Master Data'!$C$2:$W$2,_xlfn.XLOOKUP($A78,'Master Data'!$B$3:$B$122,'Master Data'!$C$3:$W$122))-$B78)</f>
        <v>9000</v>
      </c>
      <c r="K78" s="176" cm="1">
        <f t="array" ref="K78">10^3*(_xlfn.XLOOKUP(K$8,'Master Data'!$C$2:$W$2,_xlfn.XLOOKUP($A78,'Master Data'!$B$3:$B$122,'Master Data'!$C$3:$W$122))-$B78)</f>
        <v>9000</v>
      </c>
      <c r="L78" s="176" cm="1">
        <f t="array" ref="L78">10^3*(_xlfn.XLOOKUP(L$8,'Master Data'!$C$2:$W$2,_xlfn.XLOOKUP($A78,'Master Data'!$B$3:$B$122,'Master Data'!$C$3:$W$122))-$B78)</f>
        <v>9000</v>
      </c>
      <c r="M78" s="176" cm="1">
        <f t="array" ref="M78">10^3*(_xlfn.XLOOKUP(M$8,'Master Data'!$C$2:$W$2,_xlfn.XLOOKUP($A78,'Master Data'!$B$3:$B$122,'Master Data'!$C$3:$W$122))-$B78)</f>
        <v>9000</v>
      </c>
      <c r="N78" s="176" cm="1">
        <f t="array" ref="N78">10^3*(_xlfn.XLOOKUP(N$8,'Master Data'!$C$2:$W$2,_xlfn.XLOOKUP($A78,'Master Data'!$B$3:$B$122,'Master Data'!$C$3:$W$122))-$B78)</f>
        <v>9000</v>
      </c>
      <c r="O78" s="176" cm="1">
        <f t="array" ref="O78">10^3*(_xlfn.XLOOKUP(O$8,'Master Data'!$C$2:$W$2,_xlfn.XLOOKUP($A78,'Master Data'!$B$3:$B$122,'Master Data'!$C$3:$W$122))-$B78)</f>
        <v>9000</v>
      </c>
      <c r="P78" s="176" cm="1">
        <f t="array" ref="P78">10^3*(_xlfn.XLOOKUP(P$8,'Master Data'!$C$2:$W$2,_xlfn.XLOOKUP($A78,'Master Data'!$B$3:$B$122,'Master Data'!$C$3:$W$122))-$B78)</f>
        <v>9000</v>
      </c>
      <c r="Q78" s="176" cm="1">
        <f t="array" ref="Q78">10^3*(_xlfn.XLOOKUP(Q$8,'Master Data'!$C$2:$W$2,_xlfn.XLOOKUP($A78,'Master Data'!$B$3:$B$122,'Master Data'!$C$3:$W$122))-$B78)</f>
        <v>9000</v>
      </c>
      <c r="R78" s="176" cm="1">
        <f t="array" ref="R78">10^3*(_xlfn.XLOOKUP(R$8,'Master Data'!$C$2:$W$2,_xlfn.XLOOKUP($A78,'Master Data'!$B$3:$B$122,'Master Data'!$C$3:$W$122))-$B78)</f>
        <v>9000</v>
      </c>
      <c r="S78" s="176" cm="1">
        <f t="array" ref="S78">10^3*(_xlfn.XLOOKUP(S$8,'Master Data'!$C$2:$W$2,_xlfn.XLOOKUP($A78,'Master Data'!$B$3:$B$122,'Master Data'!$C$3:$W$122))-$B78)</f>
        <v>9000</v>
      </c>
      <c r="T78" s="176" cm="1">
        <f t="array" ref="T78">10^3*(_xlfn.XLOOKUP(T$8,'Master Data'!$C$2:$W$2,_xlfn.XLOOKUP($A78,'Master Data'!$B$3:$B$122,'Master Data'!$C$3:$W$122))-$B78)</f>
        <v>9000</v>
      </c>
      <c r="U78" s="176" cm="1">
        <f t="array" ref="U78">10^3*(_xlfn.XLOOKUP(U$8,'Master Data'!$C$2:$W$2,_xlfn.XLOOKUP($A78,'Master Data'!$B$3:$B$122,'Master Data'!$C$3:$W$122))-$B78)</f>
        <v>9000</v>
      </c>
      <c r="V78" s="176" cm="1">
        <f t="array" ref="V78">10^3*(_xlfn.XLOOKUP(V$8,'Master Data'!$C$2:$W$2,_xlfn.XLOOKUP($A78,'Master Data'!$B$3:$B$122,'Master Data'!$C$3:$W$122))-$B78)</f>
        <v>9000</v>
      </c>
      <c r="W78" s="176" cm="1">
        <f t="array" ref="W78">10^3*(_xlfn.XLOOKUP(W$8,'Master Data'!$C$2:$W$2,_xlfn.XLOOKUP($A78,'Master Data'!$B$3:$B$122,'Master Data'!$C$3:$W$122))-$B78)</f>
        <v>9000</v>
      </c>
      <c r="X78" s="176" cm="1">
        <f t="array" ref="X78">10^3*(_xlfn.XLOOKUP(X$8,'Master Data'!$C$2:$W$2,_xlfn.XLOOKUP($A78,'Master Data'!$B$3:$B$122,'Master Data'!$C$3:$W$122))-$B78)</f>
        <v>4500</v>
      </c>
      <c r="Y78" s="177" cm="1">
        <f t="array" ref="Y78">10^3*(_xlfn.XLOOKUP(Y$8,'Master Data'!$C$2:$W$2,_xlfn.XLOOKUP($A78,'Master Data'!$B$3:$B$122,'Master Data'!$C$3:$W$122))-$B78)</f>
        <v>9000</v>
      </c>
      <c r="Z78" s="177" t="e" cm="1">
        <f t="array" ref="Z78">10^3*(_xlfn.XLOOKUP(Z$8,'Master Data'!$C$2:$W$2,_xlfn.XLOOKUP($A78,'Master Data'!$B$3:$B$122,'Master Data'!$C$3:$W$122))-$B78)</f>
        <v>#N/A</v>
      </c>
      <c r="AA78" s="177" t="e" cm="1">
        <f t="array" ref="AA78">10^3*(_xlfn.XLOOKUP(AA$8,'Master Data'!$C$2:$W$2,_xlfn.XLOOKUP($A78,'Master Data'!$B$3:$B$122,'Master Data'!$C$3:$W$122))-$B78)</f>
        <v>#N/A</v>
      </c>
    </row>
    <row r="79" spans="1:27" s="172" customFormat="1" x14ac:dyDescent="0.25">
      <c r="A79" s="173" t="s">
        <v>54</v>
      </c>
      <c r="B79" s="174">
        <v>88</v>
      </c>
      <c r="C79" s="172" t="b">
        <f>ISNUMBER(_xlfn.XMATCH(A79,'Master Data'!$B$3:$B$122))</f>
        <v>1</v>
      </c>
      <c r="E79" s="175" cm="1">
        <f t="array" ref="E79">10^3*(_xlfn.XLOOKUP(E$8,'Master Data'!$C$2:$W$2,_xlfn.XLOOKUP($A79,'Master Data'!$B$3:$B$122,'Master Data'!$C$3:$W$122))-$B79)</f>
        <v>9000</v>
      </c>
      <c r="F79" s="176" cm="1">
        <f t="array" ref="F79">10^3*(_xlfn.XLOOKUP(F$8,'Master Data'!$C$2:$W$2,_xlfn.XLOOKUP($A79,'Master Data'!$B$3:$B$122,'Master Data'!$C$3:$W$122))-$B79)</f>
        <v>9000</v>
      </c>
      <c r="G79" s="176" cm="1">
        <f t="array" ref="G79">10^3*(_xlfn.XLOOKUP(G$8,'Master Data'!$C$2:$W$2,_xlfn.XLOOKUP($A79,'Master Data'!$B$3:$B$122,'Master Data'!$C$3:$W$122))-$B79)</f>
        <v>9000</v>
      </c>
      <c r="H79" s="176" cm="1">
        <f t="array" ref="H79">10^3*(_xlfn.XLOOKUP(H$8,'Master Data'!$C$2:$W$2,_xlfn.XLOOKUP($A79,'Master Data'!$B$3:$B$122,'Master Data'!$C$3:$W$122))-$B79)</f>
        <v>9000</v>
      </c>
      <c r="I79" s="176" cm="1">
        <f t="array" ref="I79">10^3*(_xlfn.XLOOKUP(I$8,'Master Data'!$C$2:$W$2,_xlfn.XLOOKUP($A79,'Master Data'!$B$3:$B$122,'Master Data'!$C$3:$W$122))-$B79)</f>
        <v>9000</v>
      </c>
      <c r="J79" s="176" cm="1">
        <f t="array" ref="J79">10^3*(_xlfn.XLOOKUP(J$8,'Master Data'!$C$2:$W$2,_xlfn.XLOOKUP($A79,'Master Data'!$B$3:$B$122,'Master Data'!$C$3:$W$122))-$B79)</f>
        <v>9000</v>
      </c>
      <c r="K79" s="176" cm="1">
        <f t="array" ref="K79">10^3*(_xlfn.XLOOKUP(K$8,'Master Data'!$C$2:$W$2,_xlfn.XLOOKUP($A79,'Master Data'!$B$3:$B$122,'Master Data'!$C$3:$W$122))-$B79)</f>
        <v>9000</v>
      </c>
      <c r="L79" s="176" cm="1">
        <f t="array" ref="L79">10^3*(_xlfn.XLOOKUP(L$8,'Master Data'!$C$2:$W$2,_xlfn.XLOOKUP($A79,'Master Data'!$B$3:$B$122,'Master Data'!$C$3:$W$122))-$B79)</f>
        <v>9000</v>
      </c>
      <c r="M79" s="176" cm="1">
        <f t="array" ref="M79">10^3*(_xlfn.XLOOKUP(M$8,'Master Data'!$C$2:$W$2,_xlfn.XLOOKUP($A79,'Master Data'!$B$3:$B$122,'Master Data'!$C$3:$W$122))-$B79)</f>
        <v>9000</v>
      </c>
      <c r="N79" s="176" cm="1">
        <f t="array" ref="N79">10^3*(_xlfn.XLOOKUP(N$8,'Master Data'!$C$2:$W$2,_xlfn.XLOOKUP($A79,'Master Data'!$B$3:$B$122,'Master Data'!$C$3:$W$122))-$B79)</f>
        <v>9000</v>
      </c>
      <c r="O79" s="176" cm="1">
        <f t="array" ref="O79">10^3*(_xlfn.XLOOKUP(O$8,'Master Data'!$C$2:$W$2,_xlfn.XLOOKUP($A79,'Master Data'!$B$3:$B$122,'Master Data'!$C$3:$W$122))-$B79)</f>
        <v>9000</v>
      </c>
      <c r="P79" s="176" cm="1">
        <f t="array" ref="P79">10^3*(_xlfn.XLOOKUP(P$8,'Master Data'!$C$2:$W$2,_xlfn.XLOOKUP($A79,'Master Data'!$B$3:$B$122,'Master Data'!$C$3:$W$122))-$B79)</f>
        <v>9000</v>
      </c>
      <c r="Q79" s="176" cm="1">
        <f t="array" ref="Q79">10^3*(_xlfn.XLOOKUP(Q$8,'Master Data'!$C$2:$W$2,_xlfn.XLOOKUP($A79,'Master Data'!$B$3:$B$122,'Master Data'!$C$3:$W$122))-$B79)</f>
        <v>9000</v>
      </c>
      <c r="R79" s="176" cm="1">
        <f t="array" ref="R79">10^3*(_xlfn.XLOOKUP(R$8,'Master Data'!$C$2:$W$2,_xlfn.XLOOKUP($A79,'Master Data'!$B$3:$B$122,'Master Data'!$C$3:$W$122))-$B79)</f>
        <v>9000</v>
      </c>
      <c r="S79" s="176" cm="1">
        <f t="array" ref="S79">10^3*(_xlfn.XLOOKUP(S$8,'Master Data'!$C$2:$W$2,_xlfn.XLOOKUP($A79,'Master Data'!$B$3:$B$122,'Master Data'!$C$3:$W$122))-$B79)</f>
        <v>9000</v>
      </c>
      <c r="T79" s="176" cm="1">
        <f t="array" ref="T79">10^3*(_xlfn.XLOOKUP(T$8,'Master Data'!$C$2:$W$2,_xlfn.XLOOKUP($A79,'Master Data'!$B$3:$B$122,'Master Data'!$C$3:$W$122))-$B79)</f>
        <v>9000</v>
      </c>
      <c r="U79" s="176" cm="1">
        <f t="array" ref="U79">10^3*(_xlfn.XLOOKUP(U$8,'Master Data'!$C$2:$W$2,_xlfn.XLOOKUP($A79,'Master Data'!$B$3:$B$122,'Master Data'!$C$3:$W$122))-$B79)</f>
        <v>9000</v>
      </c>
      <c r="V79" s="176" cm="1">
        <f t="array" ref="V79">10^3*(_xlfn.XLOOKUP(V$8,'Master Data'!$C$2:$W$2,_xlfn.XLOOKUP($A79,'Master Data'!$B$3:$B$122,'Master Data'!$C$3:$W$122))-$B79)</f>
        <v>9000</v>
      </c>
      <c r="W79" s="176" cm="1">
        <f t="array" ref="W79">10^3*(_xlfn.XLOOKUP(W$8,'Master Data'!$C$2:$W$2,_xlfn.XLOOKUP($A79,'Master Data'!$B$3:$B$122,'Master Data'!$C$3:$W$122))-$B79)</f>
        <v>9000</v>
      </c>
      <c r="X79" s="176" cm="1">
        <f t="array" ref="X79">10^3*(_xlfn.XLOOKUP(X$8,'Master Data'!$C$2:$W$2,_xlfn.XLOOKUP($A79,'Master Data'!$B$3:$B$122,'Master Data'!$C$3:$W$122))-$B79)</f>
        <v>9000</v>
      </c>
      <c r="Y79" s="177" cm="1">
        <f t="array" ref="Y79">10^3*(_xlfn.XLOOKUP(Y$8,'Master Data'!$C$2:$W$2,_xlfn.XLOOKUP($A79,'Master Data'!$B$3:$B$122,'Master Data'!$C$3:$W$122))-$B79)</f>
        <v>9000</v>
      </c>
      <c r="Z79" s="177" t="e" cm="1">
        <f t="array" ref="Z79">10^3*(_xlfn.XLOOKUP(Z$8,'Master Data'!$C$2:$W$2,_xlfn.XLOOKUP($A79,'Master Data'!$B$3:$B$122,'Master Data'!$C$3:$W$122))-$B79)</f>
        <v>#N/A</v>
      </c>
      <c r="AA79" s="177" t="e" cm="1">
        <f t="array" ref="AA79">10^3*(_xlfn.XLOOKUP(AA$8,'Master Data'!$C$2:$W$2,_xlfn.XLOOKUP($A79,'Master Data'!$B$3:$B$122,'Master Data'!$C$3:$W$122))-$B79)</f>
        <v>#N/A</v>
      </c>
    </row>
    <row r="80" spans="1:27" s="172" customFormat="1" x14ac:dyDescent="0.25">
      <c r="A80" s="173" t="s">
        <v>121</v>
      </c>
      <c r="B80" s="174">
        <v>70</v>
      </c>
      <c r="C80" s="172" t="b">
        <f>ISNUMBER(_xlfn.XMATCH(A80,'Master Data'!$B$3:$B$122))</f>
        <v>1</v>
      </c>
      <c r="E80" s="175" cm="1">
        <f t="array" ref="E80">10^3*(_xlfn.XLOOKUP(E$8,'Master Data'!$C$2:$W$2,_xlfn.XLOOKUP($A80,'Master Data'!$B$3:$B$122,'Master Data'!$C$3:$W$122))-$B80)</f>
        <v>10000</v>
      </c>
      <c r="F80" s="176" cm="1">
        <f t="array" ref="F80">10^3*(_xlfn.XLOOKUP(F$8,'Master Data'!$C$2:$W$2,_xlfn.XLOOKUP($A80,'Master Data'!$B$3:$B$122,'Master Data'!$C$3:$W$122))-$B80)</f>
        <v>10000</v>
      </c>
      <c r="G80" s="176" cm="1">
        <f t="array" ref="G80">10^3*(_xlfn.XLOOKUP(G$8,'Master Data'!$C$2:$W$2,_xlfn.XLOOKUP($A80,'Master Data'!$B$3:$B$122,'Master Data'!$C$3:$W$122))-$B80)</f>
        <v>10000</v>
      </c>
      <c r="H80" s="176" cm="1">
        <f t="array" ref="H80">10^3*(_xlfn.XLOOKUP(H$8,'Master Data'!$C$2:$W$2,_xlfn.XLOOKUP($A80,'Master Data'!$B$3:$B$122,'Master Data'!$C$3:$W$122))-$B80)</f>
        <v>10000</v>
      </c>
      <c r="I80" s="176" cm="1">
        <f t="array" ref="I80">10^3*(_xlfn.XLOOKUP(I$8,'Master Data'!$C$2:$W$2,_xlfn.XLOOKUP($A80,'Master Data'!$B$3:$B$122,'Master Data'!$C$3:$W$122))-$B80)</f>
        <v>10000</v>
      </c>
      <c r="J80" s="176" cm="1">
        <f t="array" ref="J80">10^3*(_xlfn.XLOOKUP(J$8,'Master Data'!$C$2:$W$2,_xlfn.XLOOKUP($A80,'Master Data'!$B$3:$B$122,'Master Data'!$C$3:$W$122))-$B80)</f>
        <v>10000</v>
      </c>
      <c r="K80" s="176" cm="1">
        <f t="array" ref="K80">10^3*(_xlfn.XLOOKUP(K$8,'Master Data'!$C$2:$W$2,_xlfn.XLOOKUP($A80,'Master Data'!$B$3:$B$122,'Master Data'!$C$3:$W$122))-$B80)</f>
        <v>10000</v>
      </c>
      <c r="L80" s="176" cm="1">
        <f t="array" ref="L80">10^3*(_xlfn.XLOOKUP(L$8,'Master Data'!$C$2:$W$2,_xlfn.XLOOKUP($A80,'Master Data'!$B$3:$B$122,'Master Data'!$C$3:$W$122))-$B80)</f>
        <v>10000</v>
      </c>
      <c r="M80" s="176" cm="1">
        <f t="array" ref="M80">10^3*(_xlfn.XLOOKUP(M$8,'Master Data'!$C$2:$W$2,_xlfn.XLOOKUP($A80,'Master Data'!$B$3:$B$122,'Master Data'!$C$3:$W$122))-$B80)</f>
        <v>10000</v>
      </c>
      <c r="N80" s="176" cm="1">
        <f t="array" ref="N80">10^3*(_xlfn.XLOOKUP(N$8,'Master Data'!$C$2:$W$2,_xlfn.XLOOKUP($A80,'Master Data'!$B$3:$B$122,'Master Data'!$C$3:$W$122))-$B80)</f>
        <v>10000</v>
      </c>
      <c r="O80" s="176" cm="1">
        <f t="array" ref="O80">10^3*(_xlfn.XLOOKUP(O$8,'Master Data'!$C$2:$W$2,_xlfn.XLOOKUP($A80,'Master Data'!$B$3:$B$122,'Master Data'!$C$3:$W$122))-$B80)</f>
        <v>10000</v>
      </c>
      <c r="P80" s="176" cm="1">
        <f t="array" ref="P80">10^3*(_xlfn.XLOOKUP(P$8,'Master Data'!$C$2:$W$2,_xlfn.XLOOKUP($A80,'Master Data'!$B$3:$B$122,'Master Data'!$C$3:$W$122))-$B80)</f>
        <v>10000</v>
      </c>
      <c r="Q80" s="176" cm="1">
        <f t="array" ref="Q80">10^3*(_xlfn.XLOOKUP(Q$8,'Master Data'!$C$2:$W$2,_xlfn.XLOOKUP($A80,'Master Data'!$B$3:$B$122,'Master Data'!$C$3:$W$122))-$B80)</f>
        <v>10000</v>
      </c>
      <c r="R80" s="176" cm="1">
        <f t="array" ref="R80">10^3*(_xlfn.XLOOKUP(R$8,'Master Data'!$C$2:$W$2,_xlfn.XLOOKUP($A80,'Master Data'!$B$3:$B$122,'Master Data'!$C$3:$W$122))-$B80)</f>
        <v>12000</v>
      </c>
      <c r="S80" s="176" cm="1">
        <f t="array" ref="S80">10^3*(_xlfn.XLOOKUP(S$8,'Master Data'!$C$2:$W$2,_xlfn.XLOOKUP($A80,'Master Data'!$B$3:$B$122,'Master Data'!$C$3:$W$122))-$B80)</f>
        <v>10000</v>
      </c>
      <c r="T80" s="176" cm="1">
        <f t="array" ref="T80">10^3*(_xlfn.XLOOKUP(T$8,'Master Data'!$C$2:$W$2,_xlfn.XLOOKUP($A80,'Master Data'!$B$3:$B$122,'Master Data'!$C$3:$W$122))-$B80)</f>
        <v>10000</v>
      </c>
      <c r="U80" s="176" cm="1">
        <f t="array" ref="U80">10^3*(_xlfn.XLOOKUP(U$8,'Master Data'!$C$2:$W$2,_xlfn.XLOOKUP($A80,'Master Data'!$B$3:$B$122,'Master Data'!$C$3:$W$122))-$B80)</f>
        <v>10000</v>
      </c>
      <c r="V80" s="176" cm="1">
        <f t="array" ref="V80">10^3*(_xlfn.XLOOKUP(V$8,'Master Data'!$C$2:$W$2,_xlfn.XLOOKUP($A80,'Master Data'!$B$3:$B$122,'Master Data'!$C$3:$W$122))-$B80)</f>
        <v>10000</v>
      </c>
      <c r="W80" s="176" cm="1">
        <f t="array" ref="W80">10^3*(_xlfn.XLOOKUP(W$8,'Master Data'!$C$2:$W$2,_xlfn.XLOOKUP($A80,'Master Data'!$B$3:$B$122,'Master Data'!$C$3:$W$122))-$B80)</f>
        <v>10000</v>
      </c>
      <c r="X80" s="176" cm="1">
        <f t="array" ref="X80">10^3*(_xlfn.XLOOKUP(X$8,'Master Data'!$C$2:$W$2,_xlfn.XLOOKUP($A80,'Master Data'!$B$3:$B$122,'Master Data'!$C$3:$W$122))-$B80)</f>
        <v>10000</v>
      </c>
      <c r="Y80" s="177" cm="1">
        <f t="array" ref="Y80">10^3*(_xlfn.XLOOKUP(Y$8,'Master Data'!$C$2:$W$2,_xlfn.XLOOKUP($A80,'Master Data'!$B$3:$B$122,'Master Data'!$C$3:$W$122))-$B80)</f>
        <v>10000</v>
      </c>
      <c r="Z80" s="177" t="e" cm="1">
        <f t="array" ref="Z80">10^3*(_xlfn.XLOOKUP(Z$8,'Master Data'!$C$2:$W$2,_xlfn.XLOOKUP($A80,'Master Data'!$B$3:$B$122,'Master Data'!$C$3:$W$122))-$B80)</f>
        <v>#N/A</v>
      </c>
      <c r="AA80" s="177" t="e" cm="1">
        <f t="array" ref="AA80">10^3*(_xlfn.XLOOKUP(AA$8,'Master Data'!$C$2:$W$2,_xlfn.XLOOKUP($A80,'Master Data'!$B$3:$B$122,'Master Data'!$C$3:$W$122))-$B80)</f>
        <v>#N/A</v>
      </c>
    </row>
    <row r="81" spans="1:27" s="172" customFormat="1" x14ac:dyDescent="0.25">
      <c r="A81" s="173" t="s">
        <v>31</v>
      </c>
      <c r="B81" s="174">
        <v>65</v>
      </c>
      <c r="C81" s="172" t="b">
        <f>ISNUMBER(_xlfn.XMATCH(A81,'Master Data'!$B$3:$B$122))</f>
        <v>1</v>
      </c>
      <c r="E81" s="175" cm="1">
        <f t="array" ref="E81">10^3*(_xlfn.XLOOKUP(E$8,'Master Data'!$C$2:$W$2,_xlfn.XLOOKUP($A81,'Master Data'!$B$3:$B$122,'Master Data'!$C$3:$W$122))-$B81)</f>
        <v>12000</v>
      </c>
      <c r="F81" s="176" cm="1">
        <f t="array" ref="F81">10^3*(_xlfn.XLOOKUP(F$8,'Master Data'!$C$2:$W$2,_xlfn.XLOOKUP($A81,'Master Data'!$B$3:$B$122,'Master Data'!$C$3:$W$122))-$B81)</f>
        <v>12000</v>
      </c>
      <c r="G81" s="176" cm="1">
        <f t="array" ref="G81">10^3*(_xlfn.XLOOKUP(G$8,'Master Data'!$C$2:$W$2,_xlfn.XLOOKUP($A81,'Master Data'!$B$3:$B$122,'Master Data'!$C$3:$W$122))-$B81)</f>
        <v>10000</v>
      </c>
      <c r="H81" s="176" cm="1">
        <f t="array" ref="H81">10^3*(_xlfn.XLOOKUP(H$8,'Master Data'!$C$2:$W$2,_xlfn.XLOOKUP($A81,'Master Data'!$B$3:$B$122,'Master Data'!$C$3:$W$122))-$B81)</f>
        <v>10000</v>
      </c>
      <c r="I81" s="176" cm="1">
        <f t="array" ref="I81">10^3*(_xlfn.XLOOKUP(I$8,'Master Data'!$C$2:$W$2,_xlfn.XLOOKUP($A81,'Master Data'!$B$3:$B$122,'Master Data'!$C$3:$W$122))-$B81)</f>
        <v>10000</v>
      </c>
      <c r="J81" s="176" cm="1">
        <f t="array" ref="J81">10^3*(_xlfn.XLOOKUP(J$8,'Master Data'!$C$2:$W$2,_xlfn.XLOOKUP($A81,'Master Data'!$B$3:$B$122,'Master Data'!$C$3:$W$122))-$B81)</f>
        <v>10000</v>
      </c>
      <c r="K81" s="176" cm="1">
        <f t="array" ref="K81">10^3*(_xlfn.XLOOKUP(K$8,'Master Data'!$C$2:$W$2,_xlfn.XLOOKUP($A81,'Master Data'!$B$3:$B$122,'Master Data'!$C$3:$W$122))-$B81)</f>
        <v>10000</v>
      </c>
      <c r="L81" s="176" cm="1">
        <f t="array" ref="L81">10^3*(_xlfn.XLOOKUP(L$8,'Master Data'!$C$2:$W$2,_xlfn.XLOOKUP($A81,'Master Data'!$B$3:$B$122,'Master Data'!$C$3:$W$122))-$B81)</f>
        <v>10000</v>
      </c>
      <c r="M81" s="176" cm="1">
        <f t="array" ref="M81">10^3*(_xlfn.XLOOKUP(M$8,'Master Data'!$C$2:$W$2,_xlfn.XLOOKUP($A81,'Master Data'!$B$3:$B$122,'Master Data'!$C$3:$W$122))-$B81)</f>
        <v>10000</v>
      </c>
      <c r="N81" s="176" cm="1">
        <f t="array" ref="N81">10^3*(_xlfn.XLOOKUP(N$8,'Master Data'!$C$2:$W$2,_xlfn.XLOOKUP($A81,'Master Data'!$B$3:$B$122,'Master Data'!$C$3:$W$122))-$B81)</f>
        <v>10000</v>
      </c>
      <c r="O81" s="176" cm="1">
        <f t="array" ref="O81">10^3*(_xlfn.XLOOKUP(O$8,'Master Data'!$C$2:$W$2,_xlfn.XLOOKUP($A81,'Master Data'!$B$3:$B$122,'Master Data'!$C$3:$W$122))-$B81)</f>
        <v>10000</v>
      </c>
      <c r="P81" s="176" cm="1">
        <f t="array" ref="P81">10^3*(_xlfn.XLOOKUP(P$8,'Master Data'!$C$2:$W$2,_xlfn.XLOOKUP($A81,'Master Data'!$B$3:$B$122,'Master Data'!$C$3:$W$122))-$B81)</f>
        <v>12000</v>
      </c>
      <c r="Q81" s="176" cm="1">
        <f t="array" ref="Q81">10^3*(_xlfn.XLOOKUP(Q$8,'Master Data'!$C$2:$W$2,_xlfn.XLOOKUP($A81,'Master Data'!$B$3:$B$122,'Master Data'!$C$3:$W$122))-$B81)</f>
        <v>12000</v>
      </c>
      <c r="R81" s="176" cm="1">
        <f t="array" ref="R81">10^3*(_xlfn.XLOOKUP(R$8,'Master Data'!$C$2:$W$2,_xlfn.XLOOKUP($A81,'Master Data'!$B$3:$B$122,'Master Data'!$C$3:$W$122))-$B81)</f>
        <v>15000</v>
      </c>
      <c r="S81" s="176" cm="1">
        <f t="array" ref="S81">10^3*(_xlfn.XLOOKUP(S$8,'Master Data'!$C$2:$W$2,_xlfn.XLOOKUP($A81,'Master Data'!$B$3:$B$122,'Master Data'!$C$3:$W$122))-$B81)</f>
        <v>10000</v>
      </c>
      <c r="T81" s="176" cm="1">
        <f t="array" ref="T81">10^3*(_xlfn.XLOOKUP(T$8,'Master Data'!$C$2:$W$2,_xlfn.XLOOKUP($A81,'Master Data'!$B$3:$B$122,'Master Data'!$C$3:$W$122))-$B81)</f>
        <v>12000</v>
      </c>
      <c r="U81" s="176" cm="1">
        <f t="array" ref="U81">10^3*(_xlfn.XLOOKUP(U$8,'Master Data'!$C$2:$W$2,_xlfn.XLOOKUP($A81,'Master Data'!$B$3:$B$122,'Master Data'!$C$3:$W$122))-$B81)</f>
        <v>12000</v>
      </c>
      <c r="V81" s="176" cm="1">
        <f t="array" ref="V81">10^3*(_xlfn.XLOOKUP(V$8,'Master Data'!$C$2:$W$2,_xlfn.XLOOKUP($A81,'Master Data'!$B$3:$B$122,'Master Data'!$C$3:$W$122))-$B81)</f>
        <v>12000</v>
      </c>
      <c r="W81" s="176" cm="1">
        <f t="array" ref="W81">10^3*(_xlfn.XLOOKUP(W$8,'Master Data'!$C$2:$W$2,_xlfn.XLOOKUP($A81,'Master Data'!$B$3:$B$122,'Master Data'!$C$3:$W$122))-$B81)</f>
        <v>10000</v>
      </c>
      <c r="X81" s="176" cm="1">
        <f t="array" ref="X81">10^3*(_xlfn.XLOOKUP(X$8,'Master Data'!$C$2:$W$2,_xlfn.XLOOKUP($A81,'Master Data'!$B$3:$B$122,'Master Data'!$C$3:$W$122))-$B81)</f>
        <v>10000</v>
      </c>
      <c r="Y81" s="177" cm="1">
        <f t="array" ref="Y81">10^3*(_xlfn.XLOOKUP(Y$8,'Master Data'!$C$2:$W$2,_xlfn.XLOOKUP($A81,'Master Data'!$B$3:$B$122,'Master Data'!$C$3:$W$122))-$B81)</f>
        <v>10000</v>
      </c>
      <c r="Z81" s="177" t="e" cm="1">
        <f t="array" ref="Z81">10^3*(_xlfn.XLOOKUP(Z$8,'Master Data'!$C$2:$W$2,_xlfn.XLOOKUP($A81,'Master Data'!$B$3:$B$122,'Master Data'!$C$3:$W$122))-$B81)</f>
        <v>#N/A</v>
      </c>
      <c r="AA81" s="177" t="e" cm="1">
        <f t="array" ref="AA81">10^3*(_xlfn.XLOOKUP(AA$8,'Master Data'!$C$2:$W$2,_xlfn.XLOOKUP($A81,'Master Data'!$B$3:$B$122,'Master Data'!$C$3:$W$122))-$B81)</f>
        <v>#N/A</v>
      </c>
    </row>
    <row r="82" spans="1:27" s="172" customFormat="1" x14ac:dyDescent="0.25">
      <c r="A82" s="173" t="s">
        <v>26</v>
      </c>
      <c r="B82" s="174">
        <v>67</v>
      </c>
      <c r="C82" s="172" t="b">
        <f>ISNUMBER(_xlfn.XMATCH(A82,'Master Data'!$B$3:$B$122))</f>
        <v>1</v>
      </c>
      <c r="E82" s="175" cm="1">
        <f t="array" ref="E82">10^3*(_xlfn.XLOOKUP(E$8,'Master Data'!$C$2:$W$2,_xlfn.XLOOKUP($A82,'Master Data'!$B$3:$B$122,'Master Data'!$C$3:$W$122))-$B82)</f>
        <v>18000</v>
      </c>
      <c r="F82" s="176" cm="1">
        <f t="array" ref="F82">10^3*(_xlfn.XLOOKUP(F$8,'Master Data'!$C$2:$W$2,_xlfn.XLOOKUP($A82,'Master Data'!$B$3:$B$122,'Master Data'!$C$3:$W$122))-$B82)</f>
        <v>18000</v>
      </c>
      <c r="G82" s="176" cm="1">
        <f t="array" ref="G82">10^3*(_xlfn.XLOOKUP(G$8,'Master Data'!$C$2:$W$2,_xlfn.XLOOKUP($A82,'Master Data'!$B$3:$B$122,'Master Data'!$C$3:$W$122))-$B82)</f>
        <v>15000</v>
      </c>
      <c r="H82" s="176" cm="1">
        <f t="array" ref="H82">10^3*(_xlfn.XLOOKUP(H$8,'Master Data'!$C$2:$W$2,_xlfn.XLOOKUP($A82,'Master Data'!$B$3:$B$122,'Master Data'!$C$3:$W$122))-$B82)</f>
        <v>15000</v>
      </c>
      <c r="I82" s="176" cm="1">
        <f t="array" ref="I82">10^3*(_xlfn.XLOOKUP(I$8,'Master Data'!$C$2:$W$2,_xlfn.XLOOKUP($A82,'Master Data'!$B$3:$B$122,'Master Data'!$C$3:$W$122))-$B82)</f>
        <v>15000</v>
      </c>
      <c r="J82" s="176" cm="1">
        <f t="array" ref="J82">10^3*(_xlfn.XLOOKUP(J$8,'Master Data'!$C$2:$W$2,_xlfn.XLOOKUP($A82,'Master Data'!$B$3:$B$122,'Master Data'!$C$3:$W$122))-$B82)</f>
        <v>15000</v>
      </c>
      <c r="K82" s="176" cm="1">
        <f t="array" ref="K82">10^3*(_xlfn.XLOOKUP(K$8,'Master Data'!$C$2:$W$2,_xlfn.XLOOKUP($A82,'Master Data'!$B$3:$B$122,'Master Data'!$C$3:$W$122))-$B82)</f>
        <v>15000</v>
      </c>
      <c r="L82" s="176" cm="1">
        <f t="array" ref="L82">10^3*(_xlfn.XLOOKUP(L$8,'Master Data'!$C$2:$W$2,_xlfn.XLOOKUP($A82,'Master Data'!$B$3:$B$122,'Master Data'!$C$3:$W$122))-$B82)</f>
        <v>15000</v>
      </c>
      <c r="M82" s="176" cm="1">
        <f t="array" ref="M82">10^3*(_xlfn.XLOOKUP(M$8,'Master Data'!$C$2:$W$2,_xlfn.XLOOKUP($A82,'Master Data'!$B$3:$B$122,'Master Data'!$C$3:$W$122))-$B82)</f>
        <v>15000</v>
      </c>
      <c r="N82" s="176" cm="1">
        <f t="array" ref="N82">10^3*(_xlfn.XLOOKUP(N$8,'Master Data'!$C$2:$W$2,_xlfn.XLOOKUP($A82,'Master Data'!$B$3:$B$122,'Master Data'!$C$3:$W$122))-$B82)</f>
        <v>15000</v>
      </c>
      <c r="O82" s="176" cm="1">
        <f t="array" ref="O82">10^3*(_xlfn.XLOOKUP(O$8,'Master Data'!$C$2:$W$2,_xlfn.XLOOKUP($A82,'Master Data'!$B$3:$B$122,'Master Data'!$C$3:$W$122))-$B82)</f>
        <v>16000</v>
      </c>
      <c r="P82" s="176" cm="1">
        <f t="array" ref="P82">10^3*(_xlfn.XLOOKUP(P$8,'Master Data'!$C$2:$W$2,_xlfn.XLOOKUP($A82,'Master Data'!$B$3:$B$122,'Master Data'!$C$3:$W$122))-$B82)</f>
        <v>18000</v>
      </c>
      <c r="Q82" s="176" cm="1">
        <f t="array" ref="Q82">10^3*(_xlfn.XLOOKUP(Q$8,'Master Data'!$C$2:$W$2,_xlfn.XLOOKUP($A82,'Master Data'!$B$3:$B$122,'Master Data'!$C$3:$W$122))-$B82)</f>
        <v>18000</v>
      </c>
      <c r="R82" s="176" cm="1">
        <f t="array" ref="R82">10^3*(_xlfn.XLOOKUP(R$8,'Master Data'!$C$2:$W$2,_xlfn.XLOOKUP($A82,'Master Data'!$B$3:$B$122,'Master Data'!$C$3:$W$122))-$B82)</f>
        <v>18000</v>
      </c>
      <c r="S82" s="176" cm="1">
        <f t="array" ref="S82">10^3*(_xlfn.XLOOKUP(S$8,'Master Data'!$C$2:$W$2,_xlfn.XLOOKUP($A82,'Master Data'!$B$3:$B$122,'Master Data'!$C$3:$W$122))-$B82)</f>
        <v>15000</v>
      </c>
      <c r="T82" s="176" cm="1">
        <f t="array" ref="T82">10^3*(_xlfn.XLOOKUP(T$8,'Master Data'!$C$2:$W$2,_xlfn.XLOOKUP($A82,'Master Data'!$B$3:$B$122,'Master Data'!$C$3:$W$122))-$B82)</f>
        <v>18000</v>
      </c>
      <c r="U82" s="176" cm="1">
        <f t="array" ref="U82">10^3*(_xlfn.XLOOKUP(U$8,'Master Data'!$C$2:$W$2,_xlfn.XLOOKUP($A82,'Master Data'!$B$3:$B$122,'Master Data'!$C$3:$W$122))-$B82)</f>
        <v>18000</v>
      </c>
      <c r="V82" s="176" cm="1">
        <f t="array" ref="V82">10^3*(_xlfn.XLOOKUP(V$8,'Master Data'!$C$2:$W$2,_xlfn.XLOOKUP($A82,'Master Data'!$B$3:$B$122,'Master Data'!$C$3:$W$122))-$B82)</f>
        <v>18000</v>
      </c>
      <c r="W82" s="176" cm="1">
        <f t="array" ref="W82">10^3*(_xlfn.XLOOKUP(W$8,'Master Data'!$C$2:$W$2,_xlfn.XLOOKUP($A82,'Master Data'!$B$3:$B$122,'Master Data'!$C$3:$W$122))-$B82)</f>
        <v>15000</v>
      </c>
      <c r="X82" s="176" cm="1">
        <f t="array" ref="X82">10^3*(_xlfn.XLOOKUP(X$8,'Master Data'!$C$2:$W$2,_xlfn.XLOOKUP($A82,'Master Data'!$B$3:$B$122,'Master Data'!$C$3:$W$122))-$B82)</f>
        <v>15000</v>
      </c>
      <c r="Y82" s="177" cm="1">
        <f t="array" ref="Y82">10^3*(_xlfn.XLOOKUP(Y$8,'Master Data'!$C$2:$W$2,_xlfn.XLOOKUP($A82,'Master Data'!$B$3:$B$122,'Master Data'!$C$3:$W$122))-$B82)</f>
        <v>15000</v>
      </c>
      <c r="Z82" s="177" t="e" cm="1">
        <f t="array" ref="Z82">10^3*(_xlfn.XLOOKUP(Z$8,'Master Data'!$C$2:$W$2,_xlfn.XLOOKUP($A82,'Master Data'!$B$3:$B$122,'Master Data'!$C$3:$W$122))-$B82)</f>
        <v>#N/A</v>
      </c>
      <c r="AA82" s="177" t="e" cm="1">
        <f t="array" ref="AA82">10^3*(_xlfn.XLOOKUP(AA$8,'Master Data'!$C$2:$W$2,_xlfn.XLOOKUP($A82,'Master Data'!$B$3:$B$122,'Master Data'!$C$3:$W$122))-$B82)</f>
        <v>#N/A</v>
      </c>
    </row>
    <row r="83" spans="1:27" s="172" customFormat="1" x14ac:dyDescent="0.25">
      <c r="A83" s="173" t="s">
        <v>29</v>
      </c>
      <c r="B83" s="174">
        <v>73</v>
      </c>
      <c r="C83" s="172" t="b">
        <f>ISNUMBER(_xlfn.XMATCH(A83,'Master Data'!$B$3:$B$122))</f>
        <v>1</v>
      </c>
      <c r="E83" s="175" cm="1">
        <f t="array" ref="E83">10^3*(_xlfn.XLOOKUP(E$8,'Master Data'!$C$2:$W$2,_xlfn.XLOOKUP($A83,'Master Data'!$B$3:$B$122,'Master Data'!$C$3:$W$122))-$B83)</f>
        <v>9000</v>
      </c>
      <c r="F83" s="176" cm="1">
        <f t="array" ref="F83">10^3*(_xlfn.XLOOKUP(F$8,'Master Data'!$C$2:$W$2,_xlfn.XLOOKUP($A83,'Master Data'!$B$3:$B$122,'Master Data'!$C$3:$W$122))-$B83)</f>
        <v>9000</v>
      </c>
      <c r="G83" s="176" cm="1">
        <f t="array" ref="G83">10^3*(_xlfn.XLOOKUP(G$8,'Master Data'!$C$2:$W$2,_xlfn.XLOOKUP($A83,'Master Data'!$B$3:$B$122,'Master Data'!$C$3:$W$122))-$B83)</f>
        <v>5000</v>
      </c>
      <c r="H83" s="176" cm="1">
        <f t="array" ref="H83">10^3*(_xlfn.XLOOKUP(H$8,'Master Data'!$C$2:$W$2,_xlfn.XLOOKUP($A83,'Master Data'!$B$3:$B$122,'Master Data'!$C$3:$W$122))-$B83)</f>
        <v>5000</v>
      </c>
      <c r="I83" s="176" cm="1">
        <f t="array" ref="I83">10^3*(_xlfn.XLOOKUP(I$8,'Master Data'!$C$2:$W$2,_xlfn.XLOOKUP($A83,'Master Data'!$B$3:$B$122,'Master Data'!$C$3:$W$122))-$B83)</f>
        <v>5000</v>
      </c>
      <c r="J83" s="176" cm="1">
        <f t="array" ref="J83">10^3*(_xlfn.XLOOKUP(J$8,'Master Data'!$C$2:$W$2,_xlfn.XLOOKUP($A83,'Master Data'!$B$3:$B$122,'Master Data'!$C$3:$W$122))-$B83)</f>
        <v>5000</v>
      </c>
      <c r="K83" s="176" cm="1">
        <f t="array" ref="K83">10^3*(_xlfn.XLOOKUP(K$8,'Master Data'!$C$2:$W$2,_xlfn.XLOOKUP($A83,'Master Data'!$B$3:$B$122,'Master Data'!$C$3:$W$122))-$B83)</f>
        <v>10000</v>
      </c>
      <c r="L83" s="176" cm="1">
        <f t="array" ref="L83">10^3*(_xlfn.XLOOKUP(L$8,'Master Data'!$C$2:$W$2,_xlfn.XLOOKUP($A83,'Master Data'!$B$3:$B$122,'Master Data'!$C$3:$W$122))-$B83)</f>
        <v>5000</v>
      </c>
      <c r="M83" s="176" cm="1">
        <f t="array" ref="M83">10^3*(_xlfn.XLOOKUP(M$8,'Master Data'!$C$2:$W$2,_xlfn.XLOOKUP($A83,'Master Data'!$B$3:$B$122,'Master Data'!$C$3:$W$122))-$B83)</f>
        <v>5000</v>
      </c>
      <c r="N83" s="176" cm="1">
        <f t="array" ref="N83">10^3*(_xlfn.XLOOKUP(N$8,'Master Data'!$C$2:$W$2,_xlfn.XLOOKUP($A83,'Master Data'!$B$3:$B$122,'Master Data'!$C$3:$W$122))-$B83)</f>
        <v>5000</v>
      </c>
      <c r="O83" s="176" cm="1">
        <f t="array" ref="O83">10^3*(_xlfn.XLOOKUP(O$8,'Master Data'!$C$2:$W$2,_xlfn.XLOOKUP($A83,'Master Data'!$B$3:$B$122,'Master Data'!$C$3:$W$122))-$B83)</f>
        <v>7000</v>
      </c>
      <c r="P83" s="176" cm="1">
        <f t="array" ref="P83">10^3*(_xlfn.XLOOKUP(P$8,'Master Data'!$C$2:$W$2,_xlfn.XLOOKUP($A83,'Master Data'!$B$3:$B$122,'Master Data'!$C$3:$W$122))-$B83)</f>
        <v>9000</v>
      </c>
      <c r="Q83" s="176" cm="1">
        <f t="array" ref="Q83">10^3*(_xlfn.XLOOKUP(Q$8,'Master Data'!$C$2:$W$2,_xlfn.XLOOKUP($A83,'Master Data'!$B$3:$B$122,'Master Data'!$C$3:$W$122))-$B83)</f>
        <v>9000</v>
      </c>
      <c r="R83" s="176" cm="1">
        <f t="array" ref="R83">10^3*(_xlfn.XLOOKUP(R$8,'Master Data'!$C$2:$W$2,_xlfn.XLOOKUP($A83,'Master Data'!$B$3:$B$122,'Master Data'!$C$3:$W$122))-$B83)</f>
        <v>9000</v>
      </c>
      <c r="S83" s="176" cm="1">
        <f t="array" ref="S83">10^3*(_xlfn.XLOOKUP(S$8,'Master Data'!$C$2:$W$2,_xlfn.XLOOKUP($A83,'Master Data'!$B$3:$B$122,'Master Data'!$C$3:$W$122))-$B83)</f>
        <v>5000</v>
      </c>
      <c r="T83" s="176" cm="1">
        <f t="array" ref="T83">10^3*(_xlfn.XLOOKUP(T$8,'Master Data'!$C$2:$W$2,_xlfn.XLOOKUP($A83,'Master Data'!$B$3:$B$122,'Master Data'!$C$3:$W$122))-$B83)</f>
        <v>9000</v>
      </c>
      <c r="U83" s="176" cm="1">
        <f t="array" ref="U83">10^3*(_xlfn.XLOOKUP(U$8,'Master Data'!$C$2:$W$2,_xlfn.XLOOKUP($A83,'Master Data'!$B$3:$B$122,'Master Data'!$C$3:$W$122))-$B83)</f>
        <v>9000</v>
      </c>
      <c r="V83" s="176" cm="1">
        <f t="array" ref="V83">10^3*(_xlfn.XLOOKUP(V$8,'Master Data'!$C$2:$W$2,_xlfn.XLOOKUP($A83,'Master Data'!$B$3:$B$122,'Master Data'!$C$3:$W$122))-$B83)</f>
        <v>9000</v>
      </c>
      <c r="W83" s="176" cm="1">
        <f t="array" ref="W83">10^3*(_xlfn.XLOOKUP(W$8,'Master Data'!$C$2:$W$2,_xlfn.XLOOKUP($A83,'Master Data'!$B$3:$B$122,'Master Data'!$C$3:$W$122))-$B83)</f>
        <v>5000</v>
      </c>
      <c r="X83" s="176" cm="1">
        <f t="array" ref="X83">10^3*(_xlfn.XLOOKUP(X$8,'Master Data'!$C$2:$W$2,_xlfn.XLOOKUP($A83,'Master Data'!$B$3:$B$122,'Master Data'!$C$3:$W$122))-$B83)</f>
        <v>5000</v>
      </c>
      <c r="Y83" s="177" cm="1">
        <f t="array" ref="Y83">10^3*(_xlfn.XLOOKUP(Y$8,'Master Data'!$C$2:$W$2,_xlfn.XLOOKUP($A83,'Master Data'!$B$3:$B$122,'Master Data'!$C$3:$W$122))-$B83)</f>
        <v>5000</v>
      </c>
      <c r="Z83" s="177" t="e" cm="1">
        <f t="array" ref="Z83">10^3*(_xlfn.XLOOKUP(Z$8,'Master Data'!$C$2:$W$2,_xlfn.XLOOKUP($A83,'Master Data'!$B$3:$B$122,'Master Data'!$C$3:$W$122))-$B83)</f>
        <v>#N/A</v>
      </c>
      <c r="AA83" s="177" t="e" cm="1">
        <f t="array" ref="AA83">10^3*(_xlfn.XLOOKUP(AA$8,'Master Data'!$C$2:$W$2,_xlfn.XLOOKUP($A83,'Master Data'!$B$3:$B$122,'Master Data'!$C$3:$W$122))-$B83)</f>
        <v>#N/A</v>
      </c>
    </row>
    <row r="84" spans="1:27" s="172" customFormat="1" x14ac:dyDescent="0.25">
      <c r="A84" s="173" t="s">
        <v>122</v>
      </c>
      <c r="B84" s="174">
        <v>70</v>
      </c>
      <c r="C84" s="172" t="b">
        <f>ISNUMBER(_xlfn.XMATCH(A84,'Master Data'!$B$3:$B$122))</f>
        <v>1</v>
      </c>
      <c r="E84" s="175" cm="1">
        <f t="array" ref="E84">10^3*(_xlfn.XLOOKUP(E$8,'Master Data'!$C$2:$W$2,_xlfn.XLOOKUP($A84,'Master Data'!$B$3:$B$122,'Master Data'!$C$3:$W$122))-$B84)</f>
        <v>10000</v>
      </c>
      <c r="F84" s="176" cm="1">
        <f t="array" ref="F84">10^3*(_xlfn.XLOOKUP(F$8,'Master Data'!$C$2:$W$2,_xlfn.XLOOKUP($A84,'Master Data'!$B$3:$B$122,'Master Data'!$C$3:$W$122))-$B84)</f>
        <v>10000</v>
      </c>
      <c r="G84" s="176" cm="1">
        <f t="array" ref="G84">10^3*(_xlfn.XLOOKUP(G$8,'Master Data'!$C$2:$W$2,_xlfn.XLOOKUP($A84,'Master Data'!$B$3:$B$122,'Master Data'!$C$3:$W$122))-$B84)</f>
        <v>12000</v>
      </c>
      <c r="H84" s="176" cm="1">
        <f t="array" ref="H84">10^3*(_xlfn.XLOOKUP(H$8,'Master Data'!$C$2:$W$2,_xlfn.XLOOKUP($A84,'Master Data'!$B$3:$B$122,'Master Data'!$C$3:$W$122))-$B84)</f>
        <v>12000</v>
      </c>
      <c r="I84" s="176" cm="1">
        <f t="array" ref="I84">10^3*(_xlfn.XLOOKUP(I$8,'Master Data'!$C$2:$W$2,_xlfn.XLOOKUP($A84,'Master Data'!$B$3:$B$122,'Master Data'!$C$3:$W$122))-$B84)</f>
        <v>12000</v>
      </c>
      <c r="J84" s="176" cm="1">
        <f t="array" ref="J84">10^3*(_xlfn.XLOOKUP(J$8,'Master Data'!$C$2:$W$2,_xlfn.XLOOKUP($A84,'Master Data'!$B$3:$B$122,'Master Data'!$C$3:$W$122))-$B84)</f>
        <v>12000</v>
      </c>
      <c r="K84" s="176" cm="1">
        <f t="array" ref="K84">10^3*(_xlfn.XLOOKUP(K$8,'Master Data'!$C$2:$W$2,_xlfn.XLOOKUP($A84,'Master Data'!$B$3:$B$122,'Master Data'!$C$3:$W$122))-$B84)</f>
        <v>12000</v>
      </c>
      <c r="L84" s="176" cm="1">
        <f t="array" ref="L84">10^3*(_xlfn.XLOOKUP(L$8,'Master Data'!$C$2:$W$2,_xlfn.XLOOKUP($A84,'Master Data'!$B$3:$B$122,'Master Data'!$C$3:$W$122))-$B84)</f>
        <v>12000</v>
      </c>
      <c r="M84" s="176" cm="1">
        <f t="array" ref="M84">10^3*(_xlfn.XLOOKUP(M$8,'Master Data'!$C$2:$W$2,_xlfn.XLOOKUP($A84,'Master Data'!$B$3:$B$122,'Master Data'!$C$3:$W$122))-$B84)</f>
        <v>12000</v>
      </c>
      <c r="N84" s="176" cm="1">
        <f t="array" ref="N84">10^3*(_xlfn.XLOOKUP(N$8,'Master Data'!$C$2:$W$2,_xlfn.XLOOKUP($A84,'Master Data'!$B$3:$B$122,'Master Data'!$C$3:$W$122))-$B84)</f>
        <v>12000</v>
      </c>
      <c r="O84" s="176" cm="1">
        <f t="array" ref="O84">10^3*(_xlfn.XLOOKUP(O$8,'Master Data'!$C$2:$W$2,_xlfn.XLOOKUP($A84,'Master Data'!$B$3:$B$122,'Master Data'!$C$3:$W$122))-$B84)</f>
        <v>12000</v>
      </c>
      <c r="P84" s="176" cm="1">
        <f t="array" ref="P84">10^3*(_xlfn.XLOOKUP(P$8,'Master Data'!$C$2:$W$2,_xlfn.XLOOKUP($A84,'Master Data'!$B$3:$B$122,'Master Data'!$C$3:$W$122))-$B84)</f>
        <v>10000</v>
      </c>
      <c r="Q84" s="176" cm="1">
        <f t="array" ref="Q84">10^3*(_xlfn.XLOOKUP(Q$8,'Master Data'!$C$2:$W$2,_xlfn.XLOOKUP($A84,'Master Data'!$B$3:$B$122,'Master Data'!$C$3:$W$122))-$B84)</f>
        <v>10000</v>
      </c>
      <c r="R84" s="176" cm="1">
        <f t="array" ref="R84">10^3*(_xlfn.XLOOKUP(R$8,'Master Data'!$C$2:$W$2,_xlfn.XLOOKUP($A84,'Master Data'!$B$3:$B$122,'Master Data'!$C$3:$W$122))-$B84)</f>
        <v>10000</v>
      </c>
      <c r="S84" s="176" cm="1">
        <f t="array" ref="S84">10^3*(_xlfn.XLOOKUP(S$8,'Master Data'!$C$2:$W$2,_xlfn.XLOOKUP($A84,'Master Data'!$B$3:$B$122,'Master Data'!$C$3:$W$122))-$B84)</f>
        <v>12000</v>
      </c>
      <c r="T84" s="176" cm="1">
        <f t="array" ref="T84">10^3*(_xlfn.XLOOKUP(T$8,'Master Data'!$C$2:$W$2,_xlfn.XLOOKUP($A84,'Master Data'!$B$3:$B$122,'Master Data'!$C$3:$W$122))-$B84)</f>
        <v>10000</v>
      </c>
      <c r="U84" s="176" cm="1">
        <f t="array" ref="U84">10^3*(_xlfn.XLOOKUP(U$8,'Master Data'!$C$2:$W$2,_xlfn.XLOOKUP($A84,'Master Data'!$B$3:$B$122,'Master Data'!$C$3:$W$122))-$B84)</f>
        <v>10000</v>
      </c>
      <c r="V84" s="176" cm="1">
        <f t="array" ref="V84">10^3*(_xlfn.XLOOKUP(V$8,'Master Data'!$C$2:$W$2,_xlfn.XLOOKUP($A84,'Master Data'!$B$3:$B$122,'Master Data'!$C$3:$W$122))-$B84)</f>
        <v>10000</v>
      </c>
      <c r="W84" s="176" cm="1">
        <f t="array" ref="W84">10^3*(_xlfn.XLOOKUP(W$8,'Master Data'!$C$2:$W$2,_xlfn.XLOOKUP($A84,'Master Data'!$B$3:$B$122,'Master Data'!$C$3:$W$122))-$B84)</f>
        <v>12000</v>
      </c>
      <c r="X84" s="176" cm="1">
        <f t="array" ref="X84">10^3*(_xlfn.XLOOKUP(X$8,'Master Data'!$C$2:$W$2,_xlfn.XLOOKUP($A84,'Master Data'!$B$3:$B$122,'Master Data'!$C$3:$W$122))-$B84)</f>
        <v>12000</v>
      </c>
      <c r="Y84" s="177" cm="1">
        <f t="array" ref="Y84">10^3*(_xlfn.XLOOKUP(Y$8,'Master Data'!$C$2:$W$2,_xlfn.XLOOKUP($A84,'Master Data'!$B$3:$B$122,'Master Data'!$C$3:$W$122))-$B84)</f>
        <v>12000</v>
      </c>
      <c r="Z84" s="177" t="e" cm="1">
        <f t="array" ref="Z84">10^3*(_xlfn.XLOOKUP(Z$8,'Master Data'!$C$2:$W$2,_xlfn.XLOOKUP($A84,'Master Data'!$B$3:$B$122,'Master Data'!$C$3:$W$122))-$B84)</f>
        <v>#N/A</v>
      </c>
      <c r="AA84" s="177" t="e" cm="1">
        <f t="array" ref="AA84">10^3*(_xlfn.XLOOKUP(AA$8,'Master Data'!$C$2:$W$2,_xlfn.XLOOKUP($A84,'Master Data'!$B$3:$B$122,'Master Data'!$C$3:$W$122))-$B84)</f>
        <v>#N/A</v>
      </c>
    </row>
    <row r="85" spans="1:27" s="172" customFormat="1" x14ac:dyDescent="0.25">
      <c r="A85" s="173" t="s">
        <v>59</v>
      </c>
      <c r="B85" s="174">
        <v>67</v>
      </c>
      <c r="C85" s="172" t="b">
        <f>ISNUMBER(_xlfn.XMATCH(A85,'Master Data'!$B$3:$B$122))</f>
        <v>1</v>
      </c>
      <c r="E85" s="175" cm="1">
        <f t="array" ref="E85">10^3*(_xlfn.XLOOKUP(E$8,'Master Data'!$C$2:$W$2,_xlfn.XLOOKUP($A85,'Master Data'!$B$3:$B$122,'Master Data'!$C$3:$W$122))-$B85)</f>
        <v>6000</v>
      </c>
      <c r="F85" s="176" cm="1">
        <f t="array" ref="F85">10^3*(_xlfn.XLOOKUP(F$8,'Master Data'!$C$2:$W$2,_xlfn.XLOOKUP($A85,'Master Data'!$B$3:$B$122,'Master Data'!$C$3:$W$122))-$B85)</f>
        <v>6000</v>
      </c>
      <c r="G85" s="176" cm="1">
        <f t="array" ref="G85">10^3*(_xlfn.XLOOKUP(G$8,'Master Data'!$C$2:$W$2,_xlfn.XLOOKUP($A85,'Master Data'!$B$3:$B$122,'Master Data'!$C$3:$W$122))-$B85)</f>
        <v>3000</v>
      </c>
      <c r="H85" s="176" cm="1">
        <f t="array" ref="H85">10^3*(_xlfn.XLOOKUP(H$8,'Master Data'!$C$2:$W$2,_xlfn.XLOOKUP($A85,'Master Data'!$B$3:$B$122,'Master Data'!$C$3:$W$122))-$B85)</f>
        <v>6000</v>
      </c>
      <c r="I85" s="176" cm="1">
        <f t="array" ref="I85">10^3*(_xlfn.XLOOKUP(I$8,'Master Data'!$C$2:$W$2,_xlfn.XLOOKUP($A85,'Master Data'!$B$3:$B$122,'Master Data'!$C$3:$W$122))-$B85)</f>
        <v>6000</v>
      </c>
      <c r="J85" s="176" cm="1">
        <f t="array" ref="J85">10^3*(_xlfn.XLOOKUP(J$8,'Master Data'!$C$2:$W$2,_xlfn.XLOOKUP($A85,'Master Data'!$B$3:$B$122,'Master Data'!$C$3:$W$122))-$B85)</f>
        <v>3000</v>
      </c>
      <c r="K85" s="176" cm="1">
        <f t="array" ref="K85">10^3*(_xlfn.XLOOKUP(K$8,'Master Data'!$C$2:$W$2,_xlfn.XLOOKUP($A85,'Master Data'!$B$3:$B$122,'Master Data'!$C$3:$W$122))-$B85)</f>
        <v>6000</v>
      </c>
      <c r="L85" s="176" cm="1">
        <f t="array" ref="L85">10^3*(_xlfn.XLOOKUP(L$8,'Master Data'!$C$2:$W$2,_xlfn.XLOOKUP($A85,'Master Data'!$B$3:$B$122,'Master Data'!$C$3:$W$122))-$B85)</f>
        <v>6000</v>
      </c>
      <c r="M85" s="176" cm="1">
        <f t="array" ref="M85">10^3*(_xlfn.XLOOKUP(M$8,'Master Data'!$C$2:$W$2,_xlfn.XLOOKUP($A85,'Master Data'!$B$3:$B$122,'Master Data'!$C$3:$W$122))-$B85)</f>
        <v>3000</v>
      </c>
      <c r="N85" s="176" cm="1">
        <f t="array" ref="N85">10^3*(_xlfn.XLOOKUP(N$8,'Master Data'!$C$2:$W$2,_xlfn.XLOOKUP($A85,'Master Data'!$B$3:$B$122,'Master Data'!$C$3:$W$122))-$B85)</f>
        <v>3000</v>
      </c>
      <c r="O85" s="176" cm="1">
        <f t="array" ref="O85">10^3*(_xlfn.XLOOKUP(O$8,'Master Data'!$C$2:$W$2,_xlfn.XLOOKUP($A85,'Master Data'!$B$3:$B$122,'Master Data'!$C$3:$W$122))-$B85)</f>
        <v>3000</v>
      </c>
      <c r="P85" s="176" cm="1">
        <f t="array" ref="P85">10^3*(_xlfn.XLOOKUP(P$8,'Master Data'!$C$2:$W$2,_xlfn.XLOOKUP($A85,'Master Data'!$B$3:$B$122,'Master Data'!$C$3:$W$122))-$B85)</f>
        <v>6000</v>
      </c>
      <c r="Q85" s="176" cm="1">
        <f t="array" ref="Q85">10^3*(_xlfn.XLOOKUP(Q$8,'Master Data'!$C$2:$W$2,_xlfn.XLOOKUP($A85,'Master Data'!$B$3:$B$122,'Master Data'!$C$3:$W$122))-$B85)</f>
        <v>6000</v>
      </c>
      <c r="R85" s="176" cm="1">
        <f t="array" ref="R85">10^3*(_xlfn.XLOOKUP(R$8,'Master Data'!$C$2:$W$2,_xlfn.XLOOKUP($A85,'Master Data'!$B$3:$B$122,'Master Data'!$C$3:$W$122))-$B85)</f>
        <v>6000</v>
      </c>
      <c r="S85" s="176" cm="1">
        <f t="array" ref="S85">10^3*(_xlfn.XLOOKUP(S$8,'Master Data'!$C$2:$W$2,_xlfn.XLOOKUP($A85,'Master Data'!$B$3:$B$122,'Master Data'!$C$3:$W$122))-$B85)</f>
        <v>3000</v>
      </c>
      <c r="T85" s="176" cm="1">
        <f t="array" ref="T85">10^3*(_xlfn.XLOOKUP(T$8,'Master Data'!$C$2:$W$2,_xlfn.XLOOKUP($A85,'Master Data'!$B$3:$B$122,'Master Data'!$C$3:$W$122))-$B85)</f>
        <v>6000</v>
      </c>
      <c r="U85" s="176" cm="1">
        <f t="array" ref="U85">10^3*(_xlfn.XLOOKUP(U$8,'Master Data'!$C$2:$W$2,_xlfn.XLOOKUP($A85,'Master Data'!$B$3:$B$122,'Master Data'!$C$3:$W$122))-$B85)</f>
        <v>6000</v>
      </c>
      <c r="V85" s="176" cm="1">
        <f t="array" ref="V85">10^3*(_xlfn.XLOOKUP(V$8,'Master Data'!$C$2:$W$2,_xlfn.XLOOKUP($A85,'Master Data'!$B$3:$B$122,'Master Data'!$C$3:$W$122))-$B85)</f>
        <v>6000</v>
      </c>
      <c r="W85" s="176" cm="1">
        <f t="array" ref="W85">10^3*(_xlfn.XLOOKUP(W$8,'Master Data'!$C$2:$W$2,_xlfn.XLOOKUP($A85,'Master Data'!$B$3:$B$122,'Master Data'!$C$3:$W$122))-$B85)</f>
        <v>3000</v>
      </c>
      <c r="X85" s="176" cm="1">
        <f t="array" ref="X85">10^3*(_xlfn.XLOOKUP(X$8,'Master Data'!$C$2:$W$2,_xlfn.XLOOKUP($A85,'Master Data'!$B$3:$B$122,'Master Data'!$C$3:$W$122))-$B85)</f>
        <v>3000</v>
      </c>
      <c r="Y85" s="177" cm="1">
        <f t="array" ref="Y85">10^3*(_xlfn.XLOOKUP(Y$8,'Master Data'!$C$2:$W$2,_xlfn.XLOOKUP($A85,'Master Data'!$B$3:$B$122,'Master Data'!$C$3:$W$122))-$B85)</f>
        <v>3000</v>
      </c>
      <c r="Z85" s="177" t="e" cm="1">
        <f t="array" ref="Z85">10^3*(_xlfn.XLOOKUP(Z$8,'Master Data'!$C$2:$W$2,_xlfn.XLOOKUP($A85,'Master Data'!$B$3:$B$122,'Master Data'!$C$3:$W$122))-$B85)</f>
        <v>#N/A</v>
      </c>
      <c r="AA85" s="177" t="e" cm="1">
        <f t="array" ref="AA85">10^3*(_xlfn.XLOOKUP(AA$8,'Master Data'!$C$2:$W$2,_xlfn.XLOOKUP($A85,'Master Data'!$B$3:$B$122,'Master Data'!$C$3:$W$122))-$B85)</f>
        <v>#N/A</v>
      </c>
    </row>
    <row r="86" spans="1:27" s="172" customFormat="1" x14ac:dyDescent="0.25">
      <c r="A86" s="173" t="s">
        <v>62</v>
      </c>
      <c r="B86" s="174">
        <v>77</v>
      </c>
      <c r="C86" s="172" t="b">
        <f>ISNUMBER(_xlfn.XMATCH(A86,'Master Data'!$B$3:$B$122))</f>
        <v>1</v>
      </c>
      <c r="E86" s="175" cm="1">
        <f t="array" ref="E86">10^3*(_xlfn.XLOOKUP(E$8,'Master Data'!$C$2:$W$2,_xlfn.XLOOKUP($A86,'Master Data'!$B$3:$B$122,'Master Data'!$C$3:$W$122))-$B86)</f>
        <v>8000</v>
      </c>
      <c r="F86" s="176" cm="1">
        <f t="array" ref="F86">10^3*(_xlfn.XLOOKUP(F$8,'Master Data'!$C$2:$W$2,_xlfn.XLOOKUP($A86,'Master Data'!$B$3:$B$122,'Master Data'!$C$3:$W$122))-$B86)</f>
        <v>8000</v>
      </c>
      <c r="G86" s="176" cm="1">
        <f t="array" ref="G86">10^3*(_xlfn.XLOOKUP(G$8,'Master Data'!$C$2:$W$2,_xlfn.XLOOKUP($A86,'Master Data'!$B$3:$B$122,'Master Data'!$C$3:$W$122))-$B86)</f>
        <v>5000</v>
      </c>
      <c r="H86" s="176" cm="1">
        <f t="array" ref="H86">10^3*(_xlfn.XLOOKUP(H$8,'Master Data'!$C$2:$W$2,_xlfn.XLOOKUP($A86,'Master Data'!$B$3:$B$122,'Master Data'!$C$3:$W$122))-$B86)</f>
        <v>5000</v>
      </c>
      <c r="I86" s="176" cm="1">
        <f t="array" ref="I86">10^3*(_xlfn.XLOOKUP(I$8,'Master Data'!$C$2:$W$2,_xlfn.XLOOKUP($A86,'Master Data'!$B$3:$B$122,'Master Data'!$C$3:$W$122))-$B86)</f>
        <v>5000</v>
      </c>
      <c r="J86" s="176" cm="1">
        <f t="array" ref="J86">10^3*(_xlfn.XLOOKUP(J$8,'Master Data'!$C$2:$W$2,_xlfn.XLOOKUP($A86,'Master Data'!$B$3:$B$122,'Master Data'!$C$3:$W$122))-$B86)</f>
        <v>5000</v>
      </c>
      <c r="K86" s="176" cm="1">
        <f t="array" ref="K86">10^3*(_xlfn.XLOOKUP(K$8,'Master Data'!$C$2:$W$2,_xlfn.XLOOKUP($A86,'Master Data'!$B$3:$B$122,'Master Data'!$C$3:$W$122))-$B86)</f>
        <v>5000</v>
      </c>
      <c r="L86" s="176" cm="1">
        <f t="array" ref="L86">10^3*(_xlfn.XLOOKUP(L$8,'Master Data'!$C$2:$W$2,_xlfn.XLOOKUP($A86,'Master Data'!$B$3:$B$122,'Master Data'!$C$3:$W$122))-$B86)</f>
        <v>5000</v>
      </c>
      <c r="M86" s="176" cm="1">
        <f t="array" ref="M86">10^3*(_xlfn.XLOOKUP(M$8,'Master Data'!$C$2:$W$2,_xlfn.XLOOKUP($A86,'Master Data'!$B$3:$B$122,'Master Data'!$C$3:$W$122))-$B86)</f>
        <v>5000</v>
      </c>
      <c r="N86" s="176" cm="1">
        <f t="array" ref="N86">10^3*(_xlfn.XLOOKUP(N$8,'Master Data'!$C$2:$W$2,_xlfn.XLOOKUP($A86,'Master Data'!$B$3:$B$122,'Master Data'!$C$3:$W$122))-$B86)</f>
        <v>5000</v>
      </c>
      <c r="O86" s="176" cm="1">
        <f t="array" ref="O86">10^3*(_xlfn.XLOOKUP(O$8,'Master Data'!$C$2:$W$2,_xlfn.XLOOKUP($A86,'Master Data'!$B$3:$B$122,'Master Data'!$C$3:$W$122))-$B86)</f>
        <v>6000</v>
      </c>
      <c r="P86" s="176" cm="1">
        <f t="array" ref="P86">10^3*(_xlfn.XLOOKUP(P$8,'Master Data'!$C$2:$W$2,_xlfn.XLOOKUP($A86,'Master Data'!$B$3:$B$122,'Master Data'!$C$3:$W$122))-$B86)</f>
        <v>8000</v>
      </c>
      <c r="Q86" s="176" cm="1">
        <f t="array" ref="Q86">10^3*(_xlfn.XLOOKUP(Q$8,'Master Data'!$C$2:$W$2,_xlfn.XLOOKUP($A86,'Master Data'!$B$3:$B$122,'Master Data'!$C$3:$W$122))-$B86)</f>
        <v>8000</v>
      </c>
      <c r="R86" s="176" cm="1">
        <f t="array" ref="R86">10^3*(_xlfn.XLOOKUP(R$8,'Master Data'!$C$2:$W$2,_xlfn.XLOOKUP($A86,'Master Data'!$B$3:$B$122,'Master Data'!$C$3:$W$122))-$B86)</f>
        <v>8000</v>
      </c>
      <c r="S86" s="176" cm="1">
        <f t="array" ref="S86">10^3*(_xlfn.XLOOKUP(S$8,'Master Data'!$C$2:$W$2,_xlfn.XLOOKUP($A86,'Master Data'!$B$3:$B$122,'Master Data'!$C$3:$W$122))-$B86)</f>
        <v>5000</v>
      </c>
      <c r="T86" s="176" cm="1">
        <f t="array" ref="T86">10^3*(_xlfn.XLOOKUP(T$8,'Master Data'!$C$2:$W$2,_xlfn.XLOOKUP($A86,'Master Data'!$B$3:$B$122,'Master Data'!$C$3:$W$122))-$B86)</f>
        <v>8000</v>
      </c>
      <c r="U86" s="176" cm="1">
        <f t="array" ref="U86">10^3*(_xlfn.XLOOKUP(U$8,'Master Data'!$C$2:$W$2,_xlfn.XLOOKUP($A86,'Master Data'!$B$3:$B$122,'Master Data'!$C$3:$W$122))-$B86)</f>
        <v>8000</v>
      </c>
      <c r="V86" s="176" cm="1">
        <f t="array" ref="V86">10^3*(_xlfn.XLOOKUP(V$8,'Master Data'!$C$2:$W$2,_xlfn.XLOOKUP($A86,'Master Data'!$B$3:$B$122,'Master Data'!$C$3:$W$122))-$B86)</f>
        <v>8000</v>
      </c>
      <c r="W86" s="176" cm="1">
        <f t="array" ref="W86">10^3*(_xlfn.XLOOKUP(W$8,'Master Data'!$C$2:$W$2,_xlfn.XLOOKUP($A86,'Master Data'!$B$3:$B$122,'Master Data'!$C$3:$W$122))-$B86)</f>
        <v>5000</v>
      </c>
      <c r="X86" s="176" cm="1">
        <f t="array" ref="X86">10^3*(_xlfn.XLOOKUP(X$8,'Master Data'!$C$2:$W$2,_xlfn.XLOOKUP($A86,'Master Data'!$B$3:$B$122,'Master Data'!$C$3:$W$122))-$B86)</f>
        <v>5000</v>
      </c>
      <c r="Y86" s="177" cm="1">
        <f t="array" ref="Y86">10^3*(_xlfn.XLOOKUP(Y$8,'Master Data'!$C$2:$W$2,_xlfn.XLOOKUP($A86,'Master Data'!$B$3:$B$122,'Master Data'!$C$3:$W$122))-$B86)</f>
        <v>5000</v>
      </c>
      <c r="Z86" s="177" t="e" cm="1">
        <f t="array" ref="Z86">10^3*(_xlfn.XLOOKUP(Z$8,'Master Data'!$C$2:$W$2,_xlfn.XLOOKUP($A86,'Master Data'!$B$3:$B$122,'Master Data'!$C$3:$W$122))-$B86)</f>
        <v>#N/A</v>
      </c>
      <c r="AA86" s="177" t="e" cm="1">
        <f t="array" ref="AA86">10^3*(_xlfn.XLOOKUP(AA$8,'Master Data'!$C$2:$W$2,_xlfn.XLOOKUP($A86,'Master Data'!$B$3:$B$122,'Master Data'!$C$3:$W$122))-$B86)</f>
        <v>#N/A</v>
      </c>
    </row>
    <row r="87" spans="1:27" s="172" customFormat="1" x14ac:dyDescent="0.25">
      <c r="A87" s="173" t="s">
        <v>18</v>
      </c>
      <c r="B87" s="174">
        <v>65</v>
      </c>
      <c r="C87" s="172" t="b">
        <f>ISNUMBER(_xlfn.XMATCH(A87,'Master Data'!$B$3:$B$122))</f>
        <v>1</v>
      </c>
      <c r="E87" s="175" cm="1">
        <f t="array" ref="E87">10^3*(_xlfn.XLOOKUP(E$8,'Master Data'!$C$2:$W$2,_xlfn.XLOOKUP($A87,'Master Data'!$B$3:$B$122,'Master Data'!$C$3:$W$122))-$B87)</f>
        <v>20000</v>
      </c>
      <c r="F87" s="176" cm="1">
        <f t="array" ref="F87">10^3*(_xlfn.XLOOKUP(F$8,'Master Data'!$C$2:$W$2,_xlfn.XLOOKUP($A87,'Master Data'!$B$3:$B$122,'Master Data'!$C$3:$W$122))-$B87)</f>
        <v>20000</v>
      </c>
      <c r="G87" s="176" cm="1">
        <f t="array" ref="G87">10^3*(_xlfn.XLOOKUP(G$8,'Master Data'!$C$2:$W$2,_xlfn.XLOOKUP($A87,'Master Data'!$B$3:$B$122,'Master Data'!$C$3:$W$122))-$B87)</f>
        <v>17000</v>
      </c>
      <c r="H87" s="176" cm="1">
        <f t="array" ref="H87">10^3*(_xlfn.XLOOKUP(H$8,'Master Data'!$C$2:$W$2,_xlfn.XLOOKUP($A87,'Master Data'!$B$3:$B$122,'Master Data'!$C$3:$W$122))-$B87)</f>
        <v>17000</v>
      </c>
      <c r="I87" s="176" cm="1">
        <f t="array" ref="I87">10^3*(_xlfn.XLOOKUP(I$8,'Master Data'!$C$2:$W$2,_xlfn.XLOOKUP($A87,'Master Data'!$B$3:$B$122,'Master Data'!$C$3:$W$122))-$B87)</f>
        <v>17000</v>
      </c>
      <c r="J87" s="176" cm="1">
        <f t="array" ref="J87">10^3*(_xlfn.XLOOKUP(J$8,'Master Data'!$C$2:$W$2,_xlfn.XLOOKUP($A87,'Master Data'!$B$3:$B$122,'Master Data'!$C$3:$W$122))-$B87)</f>
        <v>17000</v>
      </c>
      <c r="K87" s="176" cm="1">
        <f t="array" ref="K87">10^3*(_xlfn.XLOOKUP(K$8,'Master Data'!$C$2:$W$2,_xlfn.XLOOKUP($A87,'Master Data'!$B$3:$B$122,'Master Data'!$C$3:$W$122))-$B87)</f>
        <v>17000</v>
      </c>
      <c r="L87" s="176" cm="1">
        <f t="array" ref="L87">10^3*(_xlfn.XLOOKUP(L$8,'Master Data'!$C$2:$W$2,_xlfn.XLOOKUP($A87,'Master Data'!$B$3:$B$122,'Master Data'!$C$3:$W$122))-$B87)</f>
        <v>17000</v>
      </c>
      <c r="M87" s="176" cm="1">
        <f t="array" ref="M87">10^3*(_xlfn.XLOOKUP(M$8,'Master Data'!$C$2:$W$2,_xlfn.XLOOKUP($A87,'Master Data'!$B$3:$B$122,'Master Data'!$C$3:$W$122))-$B87)</f>
        <v>17000</v>
      </c>
      <c r="N87" s="176" cm="1">
        <f t="array" ref="N87">10^3*(_xlfn.XLOOKUP(N$8,'Master Data'!$C$2:$W$2,_xlfn.XLOOKUP($A87,'Master Data'!$B$3:$B$122,'Master Data'!$C$3:$W$122))-$B87)</f>
        <v>17000</v>
      </c>
      <c r="O87" s="176" cm="1">
        <f t="array" ref="O87">10^3*(_xlfn.XLOOKUP(O$8,'Master Data'!$C$2:$W$2,_xlfn.XLOOKUP($A87,'Master Data'!$B$3:$B$122,'Master Data'!$C$3:$W$122))-$B87)</f>
        <v>18000</v>
      </c>
      <c r="P87" s="176" cm="1">
        <f t="array" ref="P87">10^3*(_xlfn.XLOOKUP(P$8,'Master Data'!$C$2:$W$2,_xlfn.XLOOKUP($A87,'Master Data'!$B$3:$B$122,'Master Data'!$C$3:$W$122))-$B87)</f>
        <v>20000</v>
      </c>
      <c r="Q87" s="176" cm="1">
        <f t="array" ref="Q87">10^3*(_xlfn.XLOOKUP(Q$8,'Master Data'!$C$2:$W$2,_xlfn.XLOOKUP($A87,'Master Data'!$B$3:$B$122,'Master Data'!$C$3:$W$122))-$B87)</f>
        <v>20000</v>
      </c>
      <c r="R87" s="176" cm="1">
        <f t="array" ref="R87">10^3*(_xlfn.XLOOKUP(R$8,'Master Data'!$C$2:$W$2,_xlfn.XLOOKUP($A87,'Master Data'!$B$3:$B$122,'Master Data'!$C$3:$W$122))-$B87)</f>
        <v>20000</v>
      </c>
      <c r="S87" s="176" cm="1">
        <f t="array" ref="S87">10^3*(_xlfn.XLOOKUP(S$8,'Master Data'!$C$2:$W$2,_xlfn.XLOOKUP($A87,'Master Data'!$B$3:$B$122,'Master Data'!$C$3:$W$122))-$B87)</f>
        <v>17000</v>
      </c>
      <c r="T87" s="176" cm="1">
        <f t="array" ref="T87">10^3*(_xlfn.XLOOKUP(T$8,'Master Data'!$C$2:$W$2,_xlfn.XLOOKUP($A87,'Master Data'!$B$3:$B$122,'Master Data'!$C$3:$W$122))-$B87)</f>
        <v>20000</v>
      </c>
      <c r="U87" s="176" cm="1">
        <f t="array" ref="U87">10^3*(_xlfn.XLOOKUP(U$8,'Master Data'!$C$2:$W$2,_xlfn.XLOOKUP($A87,'Master Data'!$B$3:$B$122,'Master Data'!$C$3:$W$122))-$B87)</f>
        <v>20000</v>
      </c>
      <c r="V87" s="176" cm="1">
        <f t="array" ref="V87">10^3*(_xlfn.XLOOKUP(V$8,'Master Data'!$C$2:$W$2,_xlfn.XLOOKUP($A87,'Master Data'!$B$3:$B$122,'Master Data'!$C$3:$W$122))-$B87)</f>
        <v>20000</v>
      </c>
      <c r="W87" s="176" cm="1">
        <f t="array" ref="W87">10^3*(_xlfn.XLOOKUP(W$8,'Master Data'!$C$2:$W$2,_xlfn.XLOOKUP($A87,'Master Data'!$B$3:$B$122,'Master Data'!$C$3:$W$122))-$B87)</f>
        <v>17000</v>
      </c>
      <c r="X87" s="176" cm="1">
        <f t="array" ref="X87">10^3*(_xlfn.XLOOKUP(X$8,'Master Data'!$C$2:$W$2,_xlfn.XLOOKUP($A87,'Master Data'!$B$3:$B$122,'Master Data'!$C$3:$W$122))-$B87)</f>
        <v>16500</v>
      </c>
      <c r="Y87" s="177" cm="1">
        <f t="array" ref="Y87">10^3*(_xlfn.XLOOKUP(Y$8,'Master Data'!$C$2:$W$2,_xlfn.XLOOKUP($A87,'Master Data'!$B$3:$B$122,'Master Data'!$C$3:$W$122))-$B87)</f>
        <v>17000</v>
      </c>
      <c r="Z87" s="177" t="e" cm="1">
        <f t="array" ref="Z87">10^3*(_xlfn.XLOOKUP(Z$8,'Master Data'!$C$2:$W$2,_xlfn.XLOOKUP($A87,'Master Data'!$B$3:$B$122,'Master Data'!$C$3:$W$122))-$B87)</f>
        <v>#N/A</v>
      </c>
      <c r="AA87" s="177" t="e" cm="1">
        <f t="array" ref="AA87">10^3*(_xlfn.XLOOKUP(AA$8,'Master Data'!$C$2:$W$2,_xlfn.XLOOKUP($A87,'Master Data'!$B$3:$B$122,'Master Data'!$C$3:$W$122))-$B87)</f>
        <v>#N/A</v>
      </c>
    </row>
    <row r="88" spans="1:27" s="172" customFormat="1" x14ac:dyDescent="0.25">
      <c r="A88" s="173" t="s">
        <v>123</v>
      </c>
      <c r="B88" s="174">
        <v>107</v>
      </c>
      <c r="C88" s="172" t="b">
        <f>ISNUMBER(_xlfn.XMATCH(A88,'Master Data'!$B$3:$B$122))</f>
        <v>1</v>
      </c>
      <c r="E88" s="175" cm="1">
        <f t="array" ref="E88">10^3*(_xlfn.XLOOKUP(E$8,'Master Data'!$C$2:$W$2,_xlfn.XLOOKUP($A88,'Master Data'!$B$3:$B$122,'Master Data'!$C$3:$W$122))-$B88)</f>
        <v>-30000</v>
      </c>
      <c r="F88" s="176" cm="1">
        <f t="array" ref="F88">10^3*(_xlfn.XLOOKUP(F$8,'Master Data'!$C$2:$W$2,_xlfn.XLOOKUP($A88,'Master Data'!$B$3:$B$122,'Master Data'!$C$3:$W$122))-$B88)</f>
        <v>-30000</v>
      </c>
      <c r="G88" s="176" cm="1">
        <f t="array" ref="G88">10^3*(_xlfn.XLOOKUP(G$8,'Master Data'!$C$2:$W$2,_xlfn.XLOOKUP($A88,'Master Data'!$B$3:$B$122,'Master Data'!$C$3:$W$122))-$B88)</f>
        <v>-32000</v>
      </c>
      <c r="H88" s="176" cm="1">
        <f t="array" ref="H88">10^3*(_xlfn.XLOOKUP(H$8,'Master Data'!$C$2:$W$2,_xlfn.XLOOKUP($A88,'Master Data'!$B$3:$B$122,'Master Data'!$C$3:$W$122))-$B88)</f>
        <v>-32000</v>
      </c>
      <c r="I88" s="176" cm="1">
        <f t="array" ref="I88">10^3*(_xlfn.XLOOKUP(I$8,'Master Data'!$C$2:$W$2,_xlfn.XLOOKUP($A88,'Master Data'!$B$3:$B$122,'Master Data'!$C$3:$W$122))-$B88)</f>
        <v>-32000</v>
      </c>
      <c r="J88" s="176" cm="1">
        <f t="array" ref="J88">10^3*(_xlfn.XLOOKUP(J$8,'Master Data'!$C$2:$W$2,_xlfn.XLOOKUP($A88,'Master Data'!$B$3:$B$122,'Master Data'!$C$3:$W$122))-$B88)</f>
        <v>-32000</v>
      </c>
      <c r="K88" s="176" cm="1">
        <f t="array" ref="K88">10^3*(_xlfn.XLOOKUP(K$8,'Master Data'!$C$2:$W$2,_xlfn.XLOOKUP($A88,'Master Data'!$B$3:$B$122,'Master Data'!$C$3:$W$122))-$B88)</f>
        <v>-32000</v>
      </c>
      <c r="L88" s="176" cm="1">
        <f t="array" ref="L88">10^3*(_xlfn.XLOOKUP(L$8,'Master Data'!$C$2:$W$2,_xlfn.XLOOKUP($A88,'Master Data'!$B$3:$B$122,'Master Data'!$C$3:$W$122))-$B88)</f>
        <v>-32000</v>
      </c>
      <c r="M88" s="176" cm="1">
        <f t="array" ref="M88">10^3*(_xlfn.XLOOKUP(M$8,'Master Data'!$C$2:$W$2,_xlfn.XLOOKUP($A88,'Master Data'!$B$3:$B$122,'Master Data'!$C$3:$W$122))-$B88)</f>
        <v>-32000</v>
      </c>
      <c r="N88" s="176" cm="1">
        <f t="array" ref="N88">10^3*(_xlfn.XLOOKUP(N$8,'Master Data'!$C$2:$W$2,_xlfn.XLOOKUP($A88,'Master Data'!$B$3:$B$122,'Master Data'!$C$3:$W$122))-$B88)</f>
        <v>-32000</v>
      </c>
      <c r="O88" s="176" cm="1">
        <f t="array" ref="O88">10^3*(_xlfn.XLOOKUP(O$8,'Master Data'!$C$2:$W$2,_xlfn.XLOOKUP($A88,'Master Data'!$B$3:$B$122,'Master Data'!$C$3:$W$122))-$B88)</f>
        <v>-32000</v>
      </c>
      <c r="P88" s="176" cm="1">
        <f t="array" ref="P88">10^3*(_xlfn.XLOOKUP(P$8,'Master Data'!$C$2:$W$2,_xlfn.XLOOKUP($A88,'Master Data'!$B$3:$B$122,'Master Data'!$C$3:$W$122))-$B88)</f>
        <v>-30000</v>
      </c>
      <c r="Q88" s="176" cm="1">
        <f t="array" ref="Q88">10^3*(_xlfn.XLOOKUP(Q$8,'Master Data'!$C$2:$W$2,_xlfn.XLOOKUP($A88,'Master Data'!$B$3:$B$122,'Master Data'!$C$3:$W$122))-$B88)</f>
        <v>-30000</v>
      </c>
      <c r="R88" s="176" cm="1">
        <f t="array" ref="R88">10^3*(_xlfn.XLOOKUP(R$8,'Master Data'!$C$2:$W$2,_xlfn.XLOOKUP($A88,'Master Data'!$B$3:$B$122,'Master Data'!$C$3:$W$122))-$B88)</f>
        <v>-27000</v>
      </c>
      <c r="S88" s="176" cm="1">
        <f t="array" ref="S88">10^3*(_xlfn.XLOOKUP(S$8,'Master Data'!$C$2:$W$2,_xlfn.XLOOKUP($A88,'Master Data'!$B$3:$B$122,'Master Data'!$C$3:$W$122))-$B88)</f>
        <v>-32000</v>
      </c>
      <c r="T88" s="176" cm="1">
        <f t="array" ref="T88">10^3*(_xlfn.XLOOKUP(T$8,'Master Data'!$C$2:$W$2,_xlfn.XLOOKUP($A88,'Master Data'!$B$3:$B$122,'Master Data'!$C$3:$W$122))-$B88)</f>
        <v>-30000</v>
      </c>
      <c r="U88" s="176" cm="1">
        <f t="array" ref="U88">10^3*(_xlfn.XLOOKUP(U$8,'Master Data'!$C$2:$W$2,_xlfn.XLOOKUP($A88,'Master Data'!$B$3:$B$122,'Master Data'!$C$3:$W$122))-$B88)</f>
        <v>-30000</v>
      </c>
      <c r="V88" s="176" cm="1">
        <f t="array" ref="V88">10^3*(_xlfn.XLOOKUP(V$8,'Master Data'!$C$2:$W$2,_xlfn.XLOOKUP($A88,'Master Data'!$B$3:$B$122,'Master Data'!$C$3:$W$122))-$B88)</f>
        <v>-30000</v>
      </c>
      <c r="W88" s="176" cm="1">
        <f t="array" ref="W88">10^3*(_xlfn.XLOOKUP(W$8,'Master Data'!$C$2:$W$2,_xlfn.XLOOKUP($A88,'Master Data'!$B$3:$B$122,'Master Data'!$C$3:$W$122))-$B88)</f>
        <v>-32000</v>
      </c>
      <c r="X88" s="176" cm="1">
        <f t="array" ref="X88">10^3*(_xlfn.XLOOKUP(X$8,'Master Data'!$C$2:$W$2,_xlfn.XLOOKUP($A88,'Master Data'!$B$3:$B$122,'Master Data'!$C$3:$W$122))-$B88)</f>
        <v>-32000</v>
      </c>
      <c r="Y88" s="177" cm="1">
        <f t="array" ref="Y88">10^3*(_xlfn.XLOOKUP(Y$8,'Master Data'!$C$2:$W$2,_xlfn.XLOOKUP($A88,'Master Data'!$B$3:$B$122,'Master Data'!$C$3:$W$122))-$B88)</f>
        <v>-32000</v>
      </c>
      <c r="Z88" s="177" t="e" cm="1">
        <f t="array" ref="Z88">10^3*(_xlfn.XLOOKUP(Z$8,'Master Data'!$C$2:$W$2,_xlfn.XLOOKUP($A88,'Master Data'!$B$3:$B$122,'Master Data'!$C$3:$W$122))-$B88)</f>
        <v>#N/A</v>
      </c>
      <c r="AA88" s="177" t="e" cm="1">
        <f t="array" ref="AA88">10^3*(_xlfn.XLOOKUP(AA$8,'Master Data'!$C$2:$W$2,_xlfn.XLOOKUP($A88,'Master Data'!$B$3:$B$122,'Master Data'!$C$3:$W$122))-$B88)</f>
        <v>#N/A</v>
      </c>
    </row>
    <row r="89" spans="1:27" s="172" customFormat="1" x14ac:dyDescent="0.25">
      <c r="A89" s="173" t="s">
        <v>30</v>
      </c>
      <c r="B89" s="174">
        <v>107</v>
      </c>
      <c r="C89" s="172" t="b">
        <f>ISNUMBER(_xlfn.XMATCH(A89,'Master Data'!$B$3:$B$122))</f>
        <v>1</v>
      </c>
      <c r="E89" s="175" cm="1">
        <f t="array" ref="E89">10^3*(_xlfn.XLOOKUP(E$8,'Master Data'!$C$2:$W$2,_xlfn.XLOOKUP($A89,'Master Data'!$B$3:$B$122,'Master Data'!$C$3:$W$122))-$B89)</f>
        <v>8000</v>
      </c>
      <c r="F89" s="176" cm="1">
        <f t="array" ref="F89">10^3*(_xlfn.XLOOKUP(F$8,'Master Data'!$C$2:$W$2,_xlfn.XLOOKUP($A89,'Master Data'!$B$3:$B$122,'Master Data'!$C$3:$W$122))-$B89)</f>
        <v>8000</v>
      </c>
      <c r="G89" s="176" cm="1">
        <f t="array" ref="G89">10^3*(_xlfn.XLOOKUP(G$8,'Master Data'!$C$2:$W$2,_xlfn.XLOOKUP($A89,'Master Data'!$B$3:$B$122,'Master Data'!$C$3:$W$122))-$B89)</f>
        <v>8000</v>
      </c>
      <c r="H89" s="176" cm="1">
        <f t="array" ref="H89">10^3*(_xlfn.XLOOKUP(H$8,'Master Data'!$C$2:$W$2,_xlfn.XLOOKUP($A89,'Master Data'!$B$3:$B$122,'Master Data'!$C$3:$W$122))-$B89)</f>
        <v>8000</v>
      </c>
      <c r="I89" s="176" cm="1">
        <f t="array" ref="I89">10^3*(_xlfn.XLOOKUP(I$8,'Master Data'!$C$2:$W$2,_xlfn.XLOOKUP($A89,'Master Data'!$B$3:$B$122,'Master Data'!$C$3:$W$122))-$B89)</f>
        <v>8000</v>
      </c>
      <c r="J89" s="176" cm="1">
        <f t="array" ref="J89">10^3*(_xlfn.XLOOKUP(J$8,'Master Data'!$C$2:$W$2,_xlfn.XLOOKUP($A89,'Master Data'!$B$3:$B$122,'Master Data'!$C$3:$W$122))-$B89)</f>
        <v>8000</v>
      </c>
      <c r="K89" s="176" cm="1">
        <f t="array" ref="K89">10^3*(_xlfn.XLOOKUP(K$8,'Master Data'!$C$2:$W$2,_xlfn.XLOOKUP($A89,'Master Data'!$B$3:$B$122,'Master Data'!$C$3:$W$122))-$B89)</f>
        <v>8000</v>
      </c>
      <c r="L89" s="176" cm="1">
        <f t="array" ref="L89">10^3*(_xlfn.XLOOKUP(L$8,'Master Data'!$C$2:$W$2,_xlfn.XLOOKUP($A89,'Master Data'!$B$3:$B$122,'Master Data'!$C$3:$W$122))-$B89)</f>
        <v>8000</v>
      </c>
      <c r="M89" s="176" cm="1">
        <f t="array" ref="M89">10^3*(_xlfn.XLOOKUP(M$8,'Master Data'!$C$2:$W$2,_xlfn.XLOOKUP($A89,'Master Data'!$B$3:$B$122,'Master Data'!$C$3:$W$122))-$B89)</f>
        <v>8000</v>
      </c>
      <c r="N89" s="176" cm="1">
        <f t="array" ref="N89">10^3*(_xlfn.XLOOKUP(N$8,'Master Data'!$C$2:$W$2,_xlfn.XLOOKUP($A89,'Master Data'!$B$3:$B$122,'Master Data'!$C$3:$W$122))-$B89)</f>
        <v>8000</v>
      </c>
      <c r="O89" s="176" cm="1">
        <f t="array" ref="O89">10^3*(_xlfn.XLOOKUP(O$8,'Master Data'!$C$2:$W$2,_xlfn.XLOOKUP($A89,'Master Data'!$B$3:$B$122,'Master Data'!$C$3:$W$122))-$B89)</f>
        <v>8000</v>
      </c>
      <c r="P89" s="176" cm="1">
        <f t="array" ref="P89">10^3*(_xlfn.XLOOKUP(P$8,'Master Data'!$C$2:$W$2,_xlfn.XLOOKUP($A89,'Master Data'!$B$3:$B$122,'Master Data'!$C$3:$W$122))-$B89)</f>
        <v>8000</v>
      </c>
      <c r="Q89" s="176" cm="1">
        <f t="array" ref="Q89">10^3*(_xlfn.XLOOKUP(Q$8,'Master Data'!$C$2:$W$2,_xlfn.XLOOKUP($A89,'Master Data'!$B$3:$B$122,'Master Data'!$C$3:$W$122))-$B89)</f>
        <v>8000</v>
      </c>
      <c r="R89" s="176" cm="1">
        <f t="array" ref="R89">10^3*(_xlfn.XLOOKUP(R$8,'Master Data'!$C$2:$W$2,_xlfn.XLOOKUP($A89,'Master Data'!$B$3:$B$122,'Master Data'!$C$3:$W$122))-$B89)</f>
        <v>13000</v>
      </c>
      <c r="S89" s="176" cm="1">
        <f t="array" ref="S89">10^3*(_xlfn.XLOOKUP(S$8,'Master Data'!$C$2:$W$2,_xlfn.XLOOKUP($A89,'Master Data'!$B$3:$B$122,'Master Data'!$C$3:$W$122))-$B89)</f>
        <v>8000</v>
      </c>
      <c r="T89" s="176" cm="1">
        <f t="array" ref="T89">10^3*(_xlfn.XLOOKUP(T$8,'Master Data'!$C$2:$W$2,_xlfn.XLOOKUP($A89,'Master Data'!$B$3:$B$122,'Master Data'!$C$3:$W$122))-$B89)</f>
        <v>8000</v>
      </c>
      <c r="U89" s="176" cm="1">
        <f t="array" ref="U89">10^3*(_xlfn.XLOOKUP(U$8,'Master Data'!$C$2:$W$2,_xlfn.XLOOKUP($A89,'Master Data'!$B$3:$B$122,'Master Data'!$C$3:$W$122))-$B89)</f>
        <v>8000</v>
      </c>
      <c r="V89" s="176" cm="1">
        <f t="array" ref="V89">10^3*(_xlfn.XLOOKUP(V$8,'Master Data'!$C$2:$W$2,_xlfn.XLOOKUP($A89,'Master Data'!$B$3:$B$122,'Master Data'!$C$3:$W$122))-$B89)</f>
        <v>8000</v>
      </c>
      <c r="W89" s="176" cm="1">
        <f t="array" ref="W89">10^3*(_xlfn.XLOOKUP(W$8,'Master Data'!$C$2:$W$2,_xlfn.XLOOKUP($A89,'Master Data'!$B$3:$B$122,'Master Data'!$C$3:$W$122))-$B89)</f>
        <v>8000</v>
      </c>
      <c r="X89" s="176" cm="1">
        <f t="array" ref="X89">10^3*(_xlfn.XLOOKUP(X$8,'Master Data'!$C$2:$W$2,_xlfn.XLOOKUP($A89,'Master Data'!$B$3:$B$122,'Master Data'!$C$3:$W$122))-$B89)</f>
        <v>8000</v>
      </c>
      <c r="Y89" s="177" cm="1">
        <f t="array" ref="Y89">10^3*(_xlfn.XLOOKUP(Y$8,'Master Data'!$C$2:$W$2,_xlfn.XLOOKUP($A89,'Master Data'!$B$3:$B$122,'Master Data'!$C$3:$W$122))-$B89)</f>
        <v>8000</v>
      </c>
      <c r="Z89" s="177" t="e" cm="1">
        <f t="array" ref="Z89">10^3*(_xlfn.XLOOKUP(Z$8,'Master Data'!$C$2:$W$2,_xlfn.XLOOKUP($A89,'Master Data'!$B$3:$B$122,'Master Data'!$C$3:$W$122))-$B89)</f>
        <v>#N/A</v>
      </c>
      <c r="AA89" s="177" t="e" cm="1">
        <f t="array" ref="AA89">10^3*(_xlfn.XLOOKUP(AA$8,'Master Data'!$C$2:$W$2,_xlfn.XLOOKUP($A89,'Master Data'!$B$3:$B$122,'Master Data'!$C$3:$W$122))-$B89)</f>
        <v>#N/A</v>
      </c>
    </row>
    <row r="90" spans="1:27" s="172" customFormat="1" x14ac:dyDescent="0.25">
      <c r="A90" s="173" t="s">
        <v>124</v>
      </c>
      <c r="B90" s="174">
        <v>64</v>
      </c>
      <c r="C90" s="172" t="b">
        <f>ISNUMBER(_xlfn.XMATCH(A90,'Master Data'!$B$3:$B$122))</f>
        <v>1</v>
      </c>
      <c r="E90" s="175" cm="1">
        <f t="array" ref="E90">10^3*(_xlfn.XLOOKUP(E$8,'Master Data'!$C$2:$W$2,_xlfn.XLOOKUP($A90,'Master Data'!$B$3:$B$122,'Master Data'!$C$3:$W$122))-$B90)</f>
        <v>51000</v>
      </c>
      <c r="F90" s="176" cm="1">
        <f t="array" ref="F90">10^3*(_xlfn.XLOOKUP(F$8,'Master Data'!$C$2:$W$2,_xlfn.XLOOKUP($A90,'Master Data'!$B$3:$B$122,'Master Data'!$C$3:$W$122))-$B90)</f>
        <v>51000</v>
      </c>
      <c r="G90" s="176" cm="1">
        <f t="array" ref="G90">10^3*(_xlfn.XLOOKUP(G$8,'Master Data'!$C$2:$W$2,_xlfn.XLOOKUP($A90,'Master Data'!$B$3:$B$122,'Master Data'!$C$3:$W$122))-$B90)</f>
        <v>51000</v>
      </c>
      <c r="H90" s="176" cm="1">
        <f t="array" ref="H90">10^3*(_xlfn.XLOOKUP(H$8,'Master Data'!$C$2:$W$2,_xlfn.XLOOKUP($A90,'Master Data'!$B$3:$B$122,'Master Data'!$C$3:$W$122))-$B90)</f>
        <v>51000</v>
      </c>
      <c r="I90" s="176" cm="1">
        <f t="array" ref="I90">10^3*(_xlfn.XLOOKUP(I$8,'Master Data'!$C$2:$W$2,_xlfn.XLOOKUP($A90,'Master Data'!$B$3:$B$122,'Master Data'!$C$3:$W$122))-$B90)</f>
        <v>51000</v>
      </c>
      <c r="J90" s="176" cm="1">
        <f t="array" ref="J90">10^3*(_xlfn.XLOOKUP(J$8,'Master Data'!$C$2:$W$2,_xlfn.XLOOKUP($A90,'Master Data'!$B$3:$B$122,'Master Data'!$C$3:$W$122))-$B90)</f>
        <v>51000</v>
      </c>
      <c r="K90" s="176" cm="1">
        <f t="array" ref="K90">10^3*(_xlfn.XLOOKUP(K$8,'Master Data'!$C$2:$W$2,_xlfn.XLOOKUP($A90,'Master Data'!$B$3:$B$122,'Master Data'!$C$3:$W$122))-$B90)</f>
        <v>51000</v>
      </c>
      <c r="L90" s="176" cm="1">
        <f t="array" ref="L90">10^3*(_xlfn.XLOOKUP(L$8,'Master Data'!$C$2:$W$2,_xlfn.XLOOKUP($A90,'Master Data'!$B$3:$B$122,'Master Data'!$C$3:$W$122))-$B90)</f>
        <v>51000</v>
      </c>
      <c r="M90" s="176" cm="1">
        <f t="array" ref="M90">10^3*(_xlfn.XLOOKUP(M$8,'Master Data'!$C$2:$W$2,_xlfn.XLOOKUP($A90,'Master Data'!$B$3:$B$122,'Master Data'!$C$3:$W$122))-$B90)</f>
        <v>51000</v>
      </c>
      <c r="N90" s="176" cm="1">
        <f t="array" ref="N90">10^3*(_xlfn.XLOOKUP(N$8,'Master Data'!$C$2:$W$2,_xlfn.XLOOKUP($A90,'Master Data'!$B$3:$B$122,'Master Data'!$C$3:$W$122))-$B90)</f>
        <v>51000</v>
      </c>
      <c r="O90" s="176" cm="1">
        <f t="array" ref="O90">10^3*(_xlfn.XLOOKUP(O$8,'Master Data'!$C$2:$W$2,_xlfn.XLOOKUP($A90,'Master Data'!$B$3:$B$122,'Master Data'!$C$3:$W$122))-$B90)</f>
        <v>51000</v>
      </c>
      <c r="P90" s="176" cm="1">
        <f t="array" ref="P90">10^3*(_xlfn.XLOOKUP(P$8,'Master Data'!$C$2:$W$2,_xlfn.XLOOKUP($A90,'Master Data'!$B$3:$B$122,'Master Data'!$C$3:$W$122))-$B90)</f>
        <v>51000</v>
      </c>
      <c r="Q90" s="176" cm="1">
        <f t="array" ref="Q90">10^3*(_xlfn.XLOOKUP(Q$8,'Master Data'!$C$2:$W$2,_xlfn.XLOOKUP($A90,'Master Data'!$B$3:$B$122,'Master Data'!$C$3:$W$122))-$B90)</f>
        <v>51000</v>
      </c>
      <c r="R90" s="176" cm="1">
        <f t="array" ref="R90">10^3*(_xlfn.XLOOKUP(R$8,'Master Data'!$C$2:$W$2,_xlfn.XLOOKUP($A90,'Master Data'!$B$3:$B$122,'Master Data'!$C$3:$W$122))-$B90)</f>
        <v>56000</v>
      </c>
      <c r="S90" s="176" cm="1">
        <f t="array" ref="S90">10^3*(_xlfn.XLOOKUP(S$8,'Master Data'!$C$2:$W$2,_xlfn.XLOOKUP($A90,'Master Data'!$B$3:$B$122,'Master Data'!$C$3:$W$122))-$B90)</f>
        <v>51000</v>
      </c>
      <c r="T90" s="176" cm="1">
        <f t="array" ref="T90">10^3*(_xlfn.XLOOKUP(T$8,'Master Data'!$C$2:$W$2,_xlfn.XLOOKUP($A90,'Master Data'!$B$3:$B$122,'Master Data'!$C$3:$W$122))-$B90)</f>
        <v>51000</v>
      </c>
      <c r="U90" s="176" cm="1">
        <f t="array" ref="U90">10^3*(_xlfn.XLOOKUP(U$8,'Master Data'!$C$2:$W$2,_xlfn.XLOOKUP($A90,'Master Data'!$B$3:$B$122,'Master Data'!$C$3:$W$122))-$B90)</f>
        <v>51000</v>
      </c>
      <c r="V90" s="176" cm="1">
        <f t="array" ref="V90">10^3*(_xlfn.XLOOKUP(V$8,'Master Data'!$C$2:$W$2,_xlfn.XLOOKUP($A90,'Master Data'!$B$3:$B$122,'Master Data'!$C$3:$W$122))-$B90)</f>
        <v>51000</v>
      </c>
      <c r="W90" s="176" cm="1">
        <f t="array" ref="W90">10^3*(_xlfn.XLOOKUP(W$8,'Master Data'!$C$2:$W$2,_xlfn.XLOOKUP($A90,'Master Data'!$B$3:$B$122,'Master Data'!$C$3:$W$122))-$B90)</f>
        <v>51000</v>
      </c>
      <c r="X90" s="176" cm="1">
        <f t="array" ref="X90">10^3*(_xlfn.XLOOKUP(X$8,'Master Data'!$C$2:$W$2,_xlfn.XLOOKUP($A90,'Master Data'!$B$3:$B$122,'Master Data'!$C$3:$W$122))-$B90)</f>
        <v>51000</v>
      </c>
      <c r="Y90" s="177" cm="1">
        <f t="array" ref="Y90">10^3*(_xlfn.XLOOKUP(Y$8,'Master Data'!$C$2:$W$2,_xlfn.XLOOKUP($A90,'Master Data'!$B$3:$B$122,'Master Data'!$C$3:$W$122))-$B90)</f>
        <v>51000</v>
      </c>
      <c r="Z90" s="177" t="e" cm="1">
        <f t="array" ref="Z90">10^3*(_xlfn.XLOOKUP(Z$8,'Master Data'!$C$2:$W$2,_xlfn.XLOOKUP($A90,'Master Data'!$B$3:$B$122,'Master Data'!$C$3:$W$122))-$B90)</f>
        <v>#N/A</v>
      </c>
      <c r="AA90" s="177" t="e" cm="1">
        <f t="array" ref="AA90">10^3*(_xlfn.XLOOKUP(AA$8,'Master Data'!$C$2:$W$2,_xlfn.XLOOKUP($A90,'Master Data'!$B$3:$B$122,'Master Data'!$C$3:$W$122))-$B90)</f>
        <v>#N/A</v>
      </c>
    </row>
    <row r="91" spans="1:27" s="172" customFormat="1" x14ac:dyDescent="0.25">
      <c r="A91" s="173" t="s">
        <v>19</v>
      </c>
      <c r="B91" s="174">
        <v>80</v>
      </c>
      <c r="C91" s="172" t="b">
        <f>ISNUMBER(_xlfn.XMATCH(A91,'Master Data'!$B$3:$B$122))</f>
        <v>1</v>
      </c>
      <c r="E91" s="175" cm="1">
        <f t="array" ref="E91">10^3*(_xlfn.XLOOKUP(E$8,'Master Data'!$C$2:$W$2,_xlfn.XLOOKUP($A91,'Master Data'!$B$3:$B$122,'Master Data'!$C$3:$W$122))-$B91)</f>
        <v>-7000</v>
      </c>
      <c r="F91" s="176" cm="1">
        <f t="array" ref="F91">10^3*(_xlfn.XLOOKUP(F$8,'Master Data'!$C$2:$W$2,_xlfn.XLOOKUP($A91,'Master Data'!$B$3:$B$122,'Master Data'!$C$3:$W$122))-$B91)</f>
        <v>-7000</v>
      </c>
      <c r="G91" s="176" cm="1">
        <f t="array" ref="G91">10^3*(_xlfn.XLOOKUP(G$8,'Master Data'!$C$2:$W$2,_xlfn.XLOOKUP($A91,'Master Data'!$B$3:$B$122,'Master Data'!$C$3:$W$122))-$B91)</f>
        <v>-7000</v>
      </c>
      <c r="H91" s="176" cm="1">
        <f t="array" ref="H91">10^3*(_xlfn.XLOOKUP(H$8,'Master Data'!$C$2:$W$2,_xlfn.XLOOKUP($A91,'Master Data'!$B$3:$B$122,'Master Data'!$C$3:$W$122))-$B91)</f>
        <v>-7000</v>
      </c>
      <c r="I91" s="176" cm="1">
        <f t="array" ref="I91">10^3*(_xlfn.XLOOKUP(I$8,'Master Data'!$C$2:$W$2,_xlfn.XLOOKUP($A91,'Master Data'!$B$3:$B$122,'Master Data'!$C$3:$W$122))-$B91)</f>
        <v>-7000</v>
      </c>
      <c r="J91" s="176" cm="1">
        <f t="array" ref="J91">10^3*(_xlfn.XLOOKUP(J$8,'Master Data'!$C$2:$W$2,_xlfn.XLOOKUP($A91,'Master Data'!$B$3:$B$122,'Master Data'!$C$3:$W$122))-$B91)</f>
        <v>-7000</v>
      </c>
      <c r="K91" s="176" cm="1">
        <f t="array" ref="K91">10^3*(_xlfn.XLOOKUP(K$8,'Master Data'!$C$2:$W$2,_xlfn.XLOOKUP($A91,'Master Data'!$B$3:$B$122,'Master Data'!$C$3:$W$122))-$B91)</f>
        <v>-7000</v>
      </c>
      <c r="L91" s="176" cm="1">
        <f t="array" ref="L91">10^3*(_xlfn.XLOOKUP(L$8,'Master Data'!$C$2:$W$2,_xlfn.XLOOKUP($A91,'Master Data'!$B$3:$B$122,'Master Data'!$C$3:$W$122))-$B91)</f>
        <v>-7000</v>
      </c>
      <c r="M91" s="176" cm="1">
        <f t="array" ref="M91">10^3*(_xlfn.XLOOKUP(M$8,'Master Data'!$C$2:$W$2,_xlfn.XLOOKUP($A91,'Master Data'!$B$3:$B$122,'Master Data'!$C$3:$W$122))-$B91)</f>
        <v>-7000</v>
      </c>
      <c r="N91" s="176" cm="1">
        <f t="array" ref="N91">10^3*(_xlfn.XLOOKUP(N$8,'Master Data'!$C$2:$W$2,_xlfn.XLOOKUP($A91,'Master Data'!$B$3:$B$122,'Master Data'!$C$3:$W$122))-$B91)</f>
        <v>-7000</v>
      </c>
      <c r="O91" s="176" cm="1">
        <f t="array" ref="O91">10^3*(_xlfn.XLOOKUP(O$8,'Master Data'!$C$2:$W$2,_xlfn.XLOOKUP($A91,'Master Data'!$B$3:$B$122,'Master Data'!$C$3:$W$122))-$B91)</f>
        <v>-10000</v>
      </c>
      <c r="P91" s="176" cm="1">
        <f t="array" ref="P91">10^3*(_xlfn.XLOOKUP(P$8,'Master Data'!$C$2:$W$2,_xlfn.XLOOKUP($A91,'Master Data'!$B$3:$B$122,'Master Data'!$C$3:$W$122))-$B91)</f>
        <v>-7000</v>
      </c>
      <c r="Q91" s="176" cm="1">
        <f t="array" ref="Q91">10^3*(_xlfn.XLOOKUP(Q$8,'Master Data'!$C$2:$W$2,_xlfn.XLOOKUP($A91,'Master Data'!$B$3:$B$122,'Master Data'!$C$3:$W$122))-$B91)</f>
        <v>-7000</v>
      </c>
      <c r="R91" s="176" cm="1">
        <f t="array" ref="R91">10^3*(_xlfn.XLOOKUP(R$8,'Master Data'!$C$2:$W$2,_xlfn.XLOOKUP($A91,'Master Data'!$B$3:$B$122,'Master Data'!$C$3:$W$122))-$B91)</f>
        <v>-7000</v>
      </c>
      <c r="S91" s="176" cm="1">
        <f t="array" ref="S91">10^3*(_xlfn.XLOOKUP(S$8,'Master Data'!$C$2:$W$2,_xlfn.XLOOKUP($A91,'Master Data'!$B$3:$B$122,'Master Data'!$C$3:$W$122))-$B91)</f>
        <v>-7000</v>
      </c>
      <c r="T91" s="176" cm="1">
        <f t="array" ref="T91">10^3*(_xlfn.XLOOKUP(T$8,'Master Data'!$C$2:$W$2,_xlfn.XLOOKUP($A91,'Master Data'!$B$3:$B$122,'Master Data'!$C$3:$W$122))-$B91)</f>
        <v>-7000</v>
      </c>
      <c r="U91" s="176" cm="1">
        <f t="array" ref="U91">10^3*(_xlfn.XLOOKUP(U$8,'Master Data'!$C$2:$W$2,_xlfn.XLOOKUP($A91,'Master Data'!$B$3:$B$122,'Master Data'!$C$3:$W$122))-$B91)</f>
        <v>-7000</v>
      </c>
      <c r="V91" s="176" cm="1">
        <f t="array" ref="V91">10^3*(_xlfn.XLOOKUP(V$8,'Master Data'!$C$2:$W$2,_xlfn.XLOOKUP($A91,'Master Data'!$B$3:$B$122,'Master Data'!$C$3:$W$122))-$B91)</f>
        <v>-7000</v>
      </c>
      <c r="W91" s="176" cm="1">
        <f t="array" ref="W91">10^3*(_xlfn.XLOOKUP(W$8,'Master Data'!$C$2:$W$2,_xlfn.XLOOKUP($A91,'Master Data'!$B$3:$B$122,'Master Data'!$C$3:$W$122))-$B91)</f>
        <v>-7000</v>
      </c>
      <c r="X91" s="176" cm="1">
        <f t="array" ref="X91">10^3*(_xlfn.XLOOKUP(X$8,'Master Data'!$C$2:$W$2,_xlfn.XLOOKUP($A91,'Master Data'!$B$3:$B$122,'Master Data'!$C$3:$W$122))-$B91)</f>
        <v>-7000</v>
      </c>
      <c r="Y91" s="177" cm="1">
        <f t="array" ref="Y91">10^3*(_xlfn.XLOOKUP(Y$8,'Master Data'!$C$2:$W$2,_xlfn.XLOOKUP($A91,'Master Data'!$B$3:$B$122,'Master Data'!$C$3:$W$122))-$B91)</f>
        <v>-7000</v>
      </c>
      <c r="Z91" s="177" t="e" cm="1">
        <f t="array" ref="Z91">10^3*(_xlfn.XLOOKUP(Z$8,'Master Data'!$C$2:$W$2,_xlfn.XLOOKUP($A91,'Master Data'!$B$3:$B$122,'Master Data'!$C$3:$W$122))-$B91)</f>
        <v>#N/A</v>
      </c>
      <c r="AA91" s="177" t="e" cm="1">
        <f t="array" ref="AA91">10^3*(_xlfn.XLOOKUP(AA$8,'Master Data'!$C$2:$W$2,_xlfn.XLOOKUP($A91,'Master Data'!$B$3:$B$122,'Master Data'!$C$3:$W$122))-$B91)</f>
        <v>#N/A</v>
      </c>
    </row>
    <row r="92" spans="1:27" s="172" customFormat="1" x14ac:dyDescent="0.25">
      <c r="A92" s="173" t="s">
        <v>5</v>
      </c>
      <c r="B92" s="174">
        <v>60</v>
      </c>
      <c r="C92" s="172" t="b">
        <f>ISNUMBER(_xlfn.XMATCH(A92,'Master Data'!$B$3:$B$122))</f>
        <v>1</v>
      </c>
      <c r="E92" s="175" cm="1">
        <f t="array" ref="E92">10^3*(_xlfn.XLOOKUP(E$8,'Master Data'!$C$2:$W$2,_xlfn.XLOOKUP($A92,'Master Data'!$B$3:$B$122,'Master Data'!$C$3:$W$122))-$B92)</f>
        <v>28000</v>
      </c>
      <c r="F92" s="176" cm="1">
        <f t="array" ref="F92">10^3*(_xlfn.XLOOKUP(F$8,'Master Data'!$C$2:$W$2,_xlfn.XLOOKUP($A92,'Master Data'!$B$3:$B$122,'Master Data'!$C$3:$W$122))-$B92)</f>
        <v>28000</v>
      </c>
      <c r="G92" s="176" cm="1">
        <f t="array" ref="G92">10^3*(_xlfn.XLOOKUP(G$8,'Master Data'!$C$2:$W$2,_xlfn.XLOOKUP($A92,'Master Data'!$B$3:$B$122,'Master Data'!$C$3:$W$122))-$B92)</f>
        <v>27000</v>
      </c>
      <c r="H92" s="176" cm="1">
        <f t="array" ref="H92">10^3*(_xlfn.XLOOKUP(H$8,'Master Data'!$C$2:$W$2,_xlfn.XLOOKUP($A92,'Master Data'!$B$3:$B$122,'Master Data'!$C$3:$W$122))-$B92)</f>
        <v>27000</v>
      </c>
      <c r="I92" s="176" cm="1">
        <f t="array" ref="I92">10^3*(_xlfn.XLOOKUP(I$8,'Master Data'!$C$2:$W$2,_xlfn.XLOOKUP($A92,'Master Data'!$B$3:$B$122,'Master Data'!$C$3:$W$122))-$B92)</f>
        <v>27000</v>
      </c>
      <c r="J92" s="176" cm="1">
        <f t="array" ref="J92">10^3*(_xlfn.XLOOKUP(J$8,'Master Data'!$C$2:$W$2,_xlfn.XLOOKUP($A92,'Master Data'!$B$3:$B$122,'Master Data'!$C$3:$W$122))-$B92)</f>
        <v>27000</v>
      </c>
      <c r="K92" s="176" cm="1">
        <f t="array" ref="K92">10^3*(_xlfn.XLOOKUP(K$8,'Master Data'!$C$2:$W$2,_xlfn.XLOOKUP($A92,'Master Data'!$B$3:$B$122,'Master Data'!$C$3:$W$122))-$B92)</f>
        <v>27000</v>
      </c>
      <c r="L92" s="176" cm="1">
        <f t="array" ref="L92">10^3*(_xlfn.XLOOKUP(L$8,'Master Data'!$C$2:$W$2,_xlfn.XLOOKUP($A92,'Master Data'!$B$3:$B$122,'Master Data'!$C$3:$W$122))-$B92)</f>
        <v>27000</v>
      </c>
      <c r="M92" s="176" cm="1">
        <f t="array" ref="M92">10^3*(_xlfn.XLOOKUP(M$8,'Master Data'!$C$2:$W$2,_xlfn.XLOOKUP($A92,'Master Data'!$B$3:$B$122,'Master Data'!$C$3:$W$122))-$B92)</f>
        <v>27000</v>
      </c>
      <c r="N92" s="176" cm="1">
        <f t="array" ref="N92">10^3*(_xlfn.XLOOKUP(N$8,'Master Data'!$C$2:$W$2,_xlfn.XLOOKUP($A92,'Master Data'!$B$3:$B$122,'Master Data'!$C$3:$W$122))-$B92)</f>
        <v>27000</v>
      </c>
      <c r="O92" s="176" cm="1">
        <f t="array" ref="O92">10^3*(_xlfn.XLOOKUP(O$8,'Master Data'!$C$2:$W$2,_xlfn.XLOOKUP($A92,'Master Data'!$B$3:$B$122,'Master Data'!$C$3:$W$122))-$B92)</f>
        <v>27000</v>
      </c>
      <c r="P92" s="176" cm="1">
        <f t="array" ref="P92">10^3*(_xlfn.XLOOKUP(P$8,'Master Data'!$C$2:$W$2,_xlfn.XLOOKUP($A92,'Master Data'!$B$3:$B$122,'Master Data'!$C$3:$W$122))-$B92)</f>
        <v>28000</v>
      </c>
      <c r="Q92" s="176" cm="1">
        <f t="array" ref="Q92">10^3*(_xlfn.XLOOKUP(Q$8,'Master Data'!$C$2:$W$2,_xlfn.XLOOKUP($A92,'Master Data'!$B$3:$B$122,'Master Data'!$C$3:$W$122))-$B92)</f>
        <v>28000</v>
      </c>
      <c r="R92" s="176" cm="1">
        <f t="array" ref="R92">10^3*(_xlfn.XLOOKUP(R$8,'Master Data'!$C$2:$W$2,_xlfn.XLOOKUP($A92,'Master Data'!$B$3:$B$122,'Master Data'!$C$3:$W$122))-$B92)</f>
        <v>28000</v>
      </c>
      <c r="S92" s="176" cm="1">
        <f t="array" ref="S92">10^3*(_xlfn.XLOOKUP(S$8,'Master Data'!$C$2:$W$2,_xlfn.XLOOKUP($A92,'Master Data'!$B$3:$B$122,'Master Data'!$C$3:$W$122))-$B92)</f>
        <v>27000</v>
      </c>
      <c r="T92" s="176" cm="1">
        <f t="array" ref="T92">10^3*(_xlfn.XLOOKUP(T$8,'Master Data'!$C$2:$W$2,_xlfn.XLOOKUP($A92,'Master Data'!$B$3:$B$122,'Master Data'!$C$3:$W$122))-$B92)</f>
        <v>28000</v>
      </c>
      <c r="U92" s="176" cm="1">
        <f t="array" ref="U92">10^3*(_xlfn.XLOOKUP(U$8,'Master Data'!$C$2:$W$2,_xlfn.XLOOKUP($A92,'Master Data'!$B$3:$B$122,'Master Data'!$C$3:$W$122))-$B92)</f>
        <v>28000</v>
      </c>
      <c r="V92" s="176" cm="1">
        <f t="array" ref="V92">10^3*(_xlfn.XLOOKUP(V$8,'Master Data'!$C$2:$W$2,_xlfn.XLOOKUP($A92,'Master Data'!$B$3:$B$122,'Master Data'!$C$3:$W$122))-$B92)</f>
        <v>28000</v>
      </c>
      <c r="W92" s="176" cm="1">
        <f t="array" ref="W92">10^3*(_xlfn.XLOOKUP(W$8,'Master Data'!$C$2:$W$2,_xlfn.XLOOKUP($A92,'Master Data'!$B$3:$B$122,'Master Data'!$C$3:$W$122))-$B92)</f>
        <v>27000</v>
      </c>
      <c r="X92" s="176" cm="1">
        <f t="array" ref="X92">10^3*(_xlfn.XLOOKUP(X$8,'Master Data'!$C$2:$W$2,_xlfn.XLOOKUP($A92,'Master Data'!$B$3:$B$122,'Master Data'!$C$3:$W$122))-$B92)</f>
        <v>27000</v>
      </c>
      <c r="Y92" s="177" cm="1">
        <f t="array" ref="Y92">10^3*(_xlfn.XLOOKUP(Y$8,'Master Data'!$C$2:$W$2,_xlfn.XLOOKUP($A92,'Master Data'!$B$3:$B$122,'Master Data'!$C$3:$W$122))-$B92)</f>
        <v>27000</v>
      </c>
      <c r="Z92" s="177" t="e" cm="1">
        <f t="array" ref="Z92">10^3*(_xlfn.XLOOKUP(Z$8,'Master Data'!$C$2:$W$2,_xlfn.XLOOKUP($A92,'Master Data'!$B$3:$B$122,'Master Data'!$C$3:$W$122))-$B92)</f>
        <v>#N/A</v>
      </c>
      <c r="AA92" s="177" t="e" cm="1">
        <f t="array" ref="AA92">10^3*(_xlfn.XLOOKUP(AA$8,'Master Data'!$C$2:$W$2,_xlfn.XLOOKUP($A92,'Master Data'!$B$3:$B$122,'Master Data'!$C$3:$W$122))-$B92)</f>
        <v>#N/A</v>
      </c>
    </row>
    <row r="93" spans="1:27" s="172" customFormat="1" x14ac:dyDescent="0.25">
      <c r="A93" s="173" t="s">
        <v>125</v>
      </c>
      <c r="B93" s="174">
        <v>70</v>
      </c>
      <c r="C93" s="172" t="b">
        <f>ISNUMBER(_xlfn.XMATCH(A93,'Master Data'!$B$3:$B$122))</f>
        <v>1</v>
      </c>
      <c r="E93" s="175" cm="1">
        <f t="array" ref="E93">10^3*(_xlfn.XLOOKUP(E$8,'Master Data'!$C$2:$W$2,_xlfn.XLOOKUP($A93,'Master Data'!$B$3:$B$122,'Master Data'!$C$3:$W$122))-$B93)</f>
        <v>0</v>
      </c>
      <c r="F93" s="176" cm="1">
        <f t="array" ref="F93">10^3*(_xlfn.XLOOKUP(F$8,'Master Data'!$C$2:$W$2,_xlfn.XLOOKUP($A93,'Master Data'!$B$3:$B$122,'Master Data'!$C$3:$W$122))-$B93)</f>
        <v>0</v>
      </c>
      <c r="G93" s="176" cm="1">
        <f t="array" ref="G93">10^3*(_xlfn.XLOOKUP(G$8,'Master Data'!$C$2:$W$2,_xlfn.XLOOKUP($A93,'Master Data'!$B$3:$B$122,'Master Data'!$C$3:$W$122))-$B93)</f>
        <v>-5000</v>
      </c>
      <c r="H93" s="176" cm="1">
        <f t="array" ref="H93">10^3*(_xlfn.XLOOKUP(H$8,'Master Data'!$C$2:$W$2,_xlfn.XLOOKUP($A93,'Master Data'!$B$3:$B$122,'Master Data'!$C$3:$W$122))-$B93)</f>
        <v>-5000</v>
      </c>
      <c r="I93" s="176" cm="1">
        <f t="array" ref="I93">10^3*(_xlfn.XLOOKUP(I$8,'Master Data'!$C$2:$W$2,_xlfn.XLOOKUP($A93,'Master Data'!$B$3:$B$122,'Master Data'!$C$3:$W$122))-$B93)</f>
        <v>-5000</v>
      </c>
      <c r="J93" s="176" cm="1">
        <f t="array" ref="J93">10^3*(_xlfn.XLOOKUP(J$8,'Master Data'!$C$2:$W$2,_xlfn.XLOOKUP($A93,'Master Data'!$B$3:$B$122,'Master Data'!$C$3:$W$122))-$B93)</f>
        <v>-5000</v>
      </c>
      <c r="K93" s="176" cm="1">
        <f t="array" ref="K93">10^3*(_xlfn.XLOOKUP(K$8,'Master Data'!$C$2:$W$2,_xlfn.XLOOKUP($A93,'Master Data'!$B$3:$B$122,'Master Data'!$C$3:$W$122))-$B93)</f>
        <v>-5000</v>
      </c>
      <c r="L93" s="176" cm="1">
        <f t="array" ref="L93">10^3*(_xlfn.XLOOKUP(L$8,'Master Data'!$C$2:$W$2,_xlfn.XLOOKUP($A93,'Master Data'!$B$3:$B$122,'Master Data'!$C$3:$W$122))-$B93)</f>
        <v>-5000</v>
      </c>
      <c r="M93" s="176" cm="1">
        <f t="array" ref="M93">10^3*(_xlfn.XLOOKUP(M$8,'Master Data'!$C$2:$W$2,_xlfn.XLOOKUP($A93,'Master Data'!$B$3:$B$122,'Master Data'!$C$3:$W$122))-$B93)</f>
        <v>-5000</v>
      </c>
      <c r="N93" s="176" cm="1">
        <f t="array" ref="N93">10^3*(_xlfn.XLOOKUP(N$8,'Master Data'!$C$2:$W$2,_xlfn.XLOOKUP($A93,'Master Data'!$B$3:$B$122,'Master Data'!$C$3:$W$122))-$B93)</f>
        <v>-5000</v>
      </c>
      <c r="O93" s="176" cm="1">
        <f t="array" ref="O93">10^3*(_xlfn.XLOOKUP(O$8,'Master Data'!$C$2:$W$2,_xlfn.XLOOKUP($A93,'Master Data'!$B$3:$B$122,'Master Data'!$C$3:$W$122))-$B93)</f>
        <v>-5000</v>
      </c>
      <c r="P93" s="176" cm="1">
        <f t="array" ref="P93">10^3*(_xlfn.XLOOKUP(P$8,'Master Data'!$C$2:$W$2,_xlfn.XLOOKUP($A93,'Master Data'!$B$3:$B$122,'Master Data'!$C$3:$W$122))-$B93)</f>
        <v>0</v>
      </c>
      <c r="Q93" s="176" cm="1">
        <f t="array" ref="Q93">10^3*(_xlfn.XLOOKUP(Q$8,'Master Data'!$C$2:$W$2,_xlfn.XLOOKUP($A93,'Master Data'!$B$3:$B$122,'Master Data'!$C$3:$W$122))-$B93)</f>
        <v>0</v>
      </c>
      <c r="R93" s="176" cm="1">
        <f t="array" ref="R93">10^3*(_xlfn.XLOOKUP(R$8,'Master Data'!$C$2:$W$2,_xlfn.XLOOKUP($A93,'Master Data'!$B$3:$B$122,'Master Data'!$C$3:$W$122))-$B93)</f>
        <v>0</v>
      </c>
      <c r="S93" s="176" cm="1">
        <f t="array" ref="S93">10^3*(_xlfn.XLOOKUP(S$8,'Master Data'!$C$2:$W$2,_xlfn.XLOOKUP($A93,'Master Data'!$B$3:$B$122,'Master Data'!$C$3:$W$122))-$B93)</f>
        <v>-5000</v>
      </c>
      <c r="T93" s="176" cm="1">
        <f t="array" ref="T93">10^3*(_xlfn.XLOOKUP(T$8,'Master Data'!$C$2:$W$2,_xlfn.XLOOKUP($A93,'Master Data'!$B$3:$B$122,'Master Data'!$C$3:$W$122))-$B93)</f>
        <v>0</v>
      </c>
      <c r="U93" s="176" cm="1">
        <f t="array" ref="U93">10^3*(_xlfn.XLOOKUP(U$8,'Master Data'!$C$2:$W$2,_xlfn.XLOOKUP($A93,'Master Data'!$B$3:$B$122,'Master Data'!$C$3:$W$122))-$B93)</f>
        <v>0</v>
      </c>
      <c r="V93" s="176" cm="1">
        <f t="array" ref="V93">10^3*(_xlfn.XLOOKUP(V$8,'Master Data'!$C$2:$W$2,_xlfn.XLOOKUP($A93,'Master Data'!$B$3:$B$122,'Master Data'!$C$3:$W$122))-$B93)</f>
        <v>0</v>
      </c>
      <c r="W93" s="176" cm="1">
        <f t="array" ref="W93">10^3*(_xlfn.XLOOKUP(W$8,'Master Data'!$C$2:$W$2,_xlfn.XLOOKUP($A93,'Master Data'!$B$3:$B$122,'Master Data'!$C$3:$W$122))-$B93)</f>
        <v>-5000</v>
      </c>
      <c r="X93" s="176" cm="1">
        <f t="array" ref="X93">10^3*(_xlfn.XLOOKUP(X$8,'Master Data'!$C$2:$W$2,_xlfn.XLOOKUP($A93,'Master Data'!$B$3:$B$122,'Master Data'!$C$3:$W$122))-$B93)</f>
        <v>-5000</v>
      </c>
      <c r="Y93" s="177" cm="1">
        <f t="array" ref="Y93">10^3*(_xlfn.XLOOKUP(Y$8,'Master Data'!$C$2:$W$2,_xlfn.XLOOKUP($A93,'Master Data'!$B$3:$B$122,'Master Data'!$C$3:$W$122))-$B93)</f>
        <v>-5000</v>
      </c>
      <c r="Z93" s="177" t="e" cm="1">
        <f t="array" ref="Z93">10^3*(_xlfn.XLOOKUP(Z$8,'Master Data'!$C$2:$W$2,_xlfn.XLOOKUP($A93,'Master Data'!$B$3:$B$122,'Master Data'!$C$3:$W$122))-$B93)</f>
        <v>#N/A</v>
      </c>
      <c r="AA93" s="177" t="e" cm="1">
        <f t="array" ref="AA93">10^3*(_xlfn.XLOOKUP(AA$8,'Master Data'!$C$2:$W$2,_xlfn.XLOOKUP($A93,'Master Data'!$B$3:$B$122,'Master Data'!$C$3:$W$122))-$B93)</f>
        <v>#N/A</v>
      </c>
    </row>
    <row r="94" spans="1:27" s="172" customFormat="1" x14ac:dyDescent="0.25">
      <c r="A94" s="173" t="s">
        <v>126</v>
      </c>
      <c r="B94" s="174">
        <v>70</v>
      </c>
      <c r="C94" s="172" t="b">
        <f>ISNUMBER(_xlfn.XMATCH(A94,'Master Data'!$B$3:$B$122))</f>
        <v>1</v>
      </c>
      <c r="E94" s="175" cm="1">
        <f t="array" ref="E94">10^3*(_xlfn.XLOOKUP(E$8,'Master Data'!$C$2:$W$2,_xlfn.XLOOKUP($A94,'Master Data'!$B$3:$B$122,'Master Data'!$C$3:$W$122))-$B94)</f>
        <v>10000</v>
      </c>
      <c r="F94" s="176" cm="1">
        <f t="array" ref="F94">10^3*(_xlfn.XLOOKUP(F$8,'Master Data'!$C$2:$W$2,_xlfn.XLOOKUP($A94,'Master Data'!$B$3:$B$122,'Master Data'!$C$3:$W$122))-$B94)</f>
        <v>10000</v>
      </c>
      <c r="G94" s="176" cm="1">
        <f t="array" ref="G94">10^3*(_xlfn.XLOOKUP(G$8,'Master Data'!$C$2:$W$2,_xlfn.XLOOKUP($A94,'Master Data'!$B$3:$B$122,'Master Data'!$C$3:$W$122))-$B94)</f>
        <v>10000</v>
      </c>
      <c r="H94" s="176" cm="1">
        <f t="array" ref="H94">10^3*(_xlfn.XLOOKUP(H$8,'Master Data'!$C$2:$W$2,_xlfn.XLOOKUP($A94,'Master Data'!$B$3:$B$122,'Master Data'!$C$3:$W$122))-$B94)</f>
        <v>10000</v>
      </c>
      <c r="I94" s="176" cm="1">
        <f t="array" ref="I94">10^3*(_xlfn.XLOOKUP(I$8,'Master Data'!$C$2:$W$2,_xlfn.XLOOKUP($A94,'Master Data'!$B$3:$B$122,'Master Data'!$C$3:$W$122))-$B94)</f>
        <v>10000</v>
      </c>
      <c r="J94" s="176" cm="1">
        <f t="array" ref="J94">10^3*(_xlfn.XLOOKUP(J$8,'Master Data'!$C$2:$W$2,_xlfn.XLOOKUP($A94,'Master Data'!$B$3:$B$122,'Master Data'!$C$3:$W$122))-$B94)</f>
        <v>10000</v>
      </c>
      <c r="K94" s="176" cm="1">
        <f t="array" ref="K94">10^3*(_xlfn.XLOOKUP(K$8,'Master Data'!$C$2:$W$2,_xlfn.XLOOKUP($A94,'Master Data'!$B$3:$B$122,'Master Data'!$C$3:$W$122))-$B94)</f>
        <v>10000</v>
      </c>
      <c r="L94" s="176" cm="1">
        <f t="array" ref="L94">10^3*(_xlfn.XLOOKUP(L$8,'Master Data'!$C$2:$W$2,_xlfn.XLOOKUP($A94,'Master Data'!$B$3:$B$122,'Master Data'!$C$3:$W$122))-$B94)</f>
        <v>10000</v>
      </c>
      <c r="M94" s="176" cm="1">
        <f t="array" ref="M94">10^3*(_xlfn.XLOOKUP(M$8,'Master Data'!$C$2:$W$2,_xlfn.XLOOKUP($A94,'Master Data'!$B$3:$B$122,'Master Data'!$C$3:$W$122))-$B94)</f>
        <v>10000</v>
      </c>
      <c r="N94" s="176" cm="1">
        <f t="array" ref="N94">10^3*(_xlfn.XLOOKUP(N$8,'Master Data'!$C$2:$W$2,_xlfn.XLOOKUP($A94,'Master Data'!$B$3:$B$122,'Master Data'!$C$3:$W$122))-$B94)</f>
        <v>10000</v>
      </c>
      <c r="O94" s="176" cm="1">
        <f t="array" ref="O94">10^3*(_xlfn.XLOOKUP(O$8,'Master Data'!$C$2:$W$2,_xlfn.XLOOKUP($A94,'Master Data'!$B$3:$B$122,'Master Data'!$C$3:$W$122))-$B94)</f>
        <v>10000</v>
      </c>
      <c r="P94" s="176" cm="1">
        <f t="array" ref="P94">10^3*(_xlfn.XLOOKUP(P$8,'Master Data'!$C$2:$W$2,_xlfn.XLOOKUP($A94,'Master Data'!$B$3:$B$122,'Master Data'!$C$3:$W$122))-$B94)</f>
        <v>10000</v>
      </c>
      <c r="Q94" s="176" cm="1">
        <f t="array" ref="Q94">10^3*(_xlfn.XLOOKUP(Q$8,'Master Data'!$C$2:$W$2,_xlfn.XLOOKUP($A94,'Master Data'!$B$3:$B$122,'Master Data'!$C$3:$W$122))-$B94)</f>
        <v>10000</v>
      </c>
      <c r="R94" s="176" cm="1">
        <f t="array" ref="R94">10^3*(_xlfn.XLOOKUP(R$8,'Master Data'!$C$2:$W$2,_xlfn.XLOOKUP($A94,'Master Data'!$B$3:$B$122,'Master Data'!$C$3:$W$122))-$B94)</f>
        <v>10000</v>
      </c>
      <c r="S94" s="176" cm="1">
        <f t="array" ref="S94">10^3*(_xlfn.XLOOKUP(S$8,'Master Data'!$C$2:$W$2,_xlfn.XLOOKUP($A94,'Master Data'!$B$3:$B$122,'Master Data'!$C$3:$W$122))-$B94)</f>
        <v>10000</v>
      </c>
      <c r="T94" s="176" cm="1">
        <f t="array" ref="T94">10^3*(_xlfn.XLOOKUP(T$8,'Master Data'!$C$2:$W$2,_xlfn.XLOOKUP($A94,'Master Data'!$B$3:$B$122,'Master Data'!$C$3:$W$122))-$B94)</f>
        <v>10000</v>
      </c>
      <c r="U94" s="176" cm="1">
        <f t="array" ref="U94">10^3*(_xlfn.XLOOKUP(U$8,'Master Data'!$C$2:$W$2,_xlfn.XLOOKUP($A94,'Master Data'!$B$3:$B$122,'Master Data'!$C$3:$W$122))-$B94)</f>
        <v>10000</v>
      </c>
      <c r="V94" s="176" cm="1">
        <f t="array" ref="V94">10^3*(_xlfn.XLOOKUP(V$8,'Master Data'!$C$2:$W$2,_xlfn.XLOOKUP($A94,'Master Data'!$B$3:$B$122,'Master Data'!$C$3:$W$122))-$B94)</f>
        <v>10000</v>
      </c>
      <c r="W94" s="176" cm="1">
        <f t="array" ref="W94">10^3*(_xlfn.XLOOKUP(W$8,'Master Data'!$C$2:$W$2,_xlfn.XLOOKUP($A94,'Master Data'!$B$3:$B$122,'Master Data'!$C$3:$W$122))-$B94)</f>
        <v>10000</v>
      </c>
      <c r="X94" s="176" cm="1">
        <f t="array" ref="X94">10^3*(_xlfn.XLOOKUP(X$8,'Master Data'!$C$2:$W$2,_xlfn.XLOOKUP($A94,'Master Data'!$B$3:$B$122,'Master Data'!$C$3:$W$122))-$B94)</f>
        <v>10000</v>
      </c>
      <c r="Y94" s="177" cm="1">
        <f t="array" ref="Y94">10^3*(_xlfn.XLOOKUP(Y$8,'Master Data'!$C$2:$W$2,_xlfn.XLOOKUP($A94,'Master Data'!$B$3:$B$122,'Master Data'!$C$3:$W$122))-$B94)</f>
        <v>10000</v>
      </c>
      <c r="Z94" s="177" t="e" cm="1">
        <f t="array" ref="Z94">10^3*(_xlfn.XLOOKUP(Z$8,'Master Data'!$C$2:$W$2,_xlfn.XLOOKUP($A94,'Master Data'!$B$3:$B$122,'Master Data'!$C$3:$W$122))-$B94)</f>
        <v>#N/A</v>
      </c>
      <c r="AA94" s="177" t="e" cm="1">
        <f t="array" ref="AA94">10^3*(_xlfn.XLOOKUP(AA$8,'Master Data'!$C$2:$W$2,_xlfn.XLOOKUP($A94,'Master Data'!$B$3:$B$122,'Master Data'!$C$3:$W$122))-$B94)</f>
        <v>#N/A</v>
      </c>
    </row>
    <row r="95" spans="1:27" s="172" customFormat="1" x14ac:dyDescent="0.25">
      <c r="A95" s="173" t="s">
        <v>127</v>
      </c>
      <c r="B95" s="174">
        <v>75</v>
      </c>
      <c r="C95" s="172" t="b">
        <f>ISNUMBER(_xlfn.XMATCH(A95,'Master Data'!$B$3:$B$122))</f>
        <v>1</v>
      </c>
      <c r="E95" s="175" cm="1">
        <f t="array" ref="E95">10^3*(_xlfn.XLOOKUP(E$8,'Master Data'!$C$2:$W$2,_xlfn.XLOOKUP($A95,'Master Data'!$B$3:$B$122,'Master Data'!$C$3:$W$122))-$B95)</f>
        <v>5000</v>
      </c>
      <c r="F95" s="176" cm="1">
        <f t="array" ref="F95">10^3*(_xlfn.XLOOKUP(F$8,'Master Data'!$C$2:$W$2,_xlfn.XLOOKUP($A95,'Master Data'!$B$3:$B$122,'Master Data'!$C$3:$W$122))-$B95)</f>
        <v>5000</v>
      </c>
      <c r="G95" s="176" cm="1">
        <f t="array" ref="G95">10^3*(_xlfn.XLOOKUP(G$8,'Master Data'!$C$2:$W$2,_xlfn.XLOOKUP($A95,'Master Data'!$B$3:$B$122,'Master Data'!$C$3:$W$122))-$B95)</f>
        <v>5000</v>
      </c>
      <c r="H95" s="176" cm="1">
        <f t="array" ref="H95">10^3*(_xlfn.XLOOKUP(H$8,'Master Data'!$C$2:$W$2,_xlfn.XLOOKUP($A95,'Master Data'!$B$3:$B$122,'Master Data'!$C$3:$W$122))-$B95)</f>
        <v>5000</v>
      </c>
      <c r="I95" s="176" cm="1">
        <f t="array" ref="I95">10^3*(_xlfn.XLOOKUP(I$8,'Master Data'!$C$2:$W$2,_xlfn.XLOOKUP($A95,'Master Data'!$B$3:$B$122,'Master Data'!$C$3:$W$122))-$B95)</f>
        <v>5000</v>
      </c>
      <c r="J95" s="176" cm="1">
        <f t="array" ref="J95">10^3*(_xlfn.XLOOKUP(J$8,'Master Data'!$C$2:$W$2,_xlfn.XLOOKUP($A95,'Master Data'!$B$3:$B$122,'Master Data'!$C$3:$W$122))-$B95)</f>
        <v>5000</v>
      </c>
      <c r="K95" s="176" cm="1">
        <f t="array" ref="K95">10^3*(_xlfn.XLOOKUP(K$8,'Master Data'!$C$2:$W$2,_xlfn.XLOOKUP($A95,'Master Data'!$B$3:$B$122,'Master Data'!$C$3:$W$122))-$B95)</f>
        <v>5000</v>
      </c>
      <c r="L95" s="176" cm="1">
        <f t="array" ref="L95">10^3*(_xlfn.XLOOKUP(L$8,'Master Data'!$C$2:$W$2,_xlfn.XLOOKUP($A95,'Master Data'!$B$3:$B$122,'Master Data'!$C$3:$W$122))-$B95)</f>
        <v>5000</v>
      </c>
      <c r="M95" s="176" cm="1">
        <f t="array" ref="M95">10^3*(_xlfn.XLOOKUP(M$8,'Master Data'!$C$2:$W$2,_xlfn.XLOOKUP($A95,'Master Data'!$B$3:$B$122,'Master Data'!$C$3:$W$122))-$B95)</f>
        <v>5000</v>
      </c>
      <c r="N95" s="176" cm="1">
        <f t="array" ref="N95">10^3*(_xlfn.XLOOKUP(N$8,'Master Data'!$C$2:$W$2,_xlfn.XLOOKUP($A95,'Master Data'!$B$3:$B$122,'Master Data'!$C$3:$W$122))-$B95)</f>
        <v>5000</v>
      </c>
      <c r="O95" s="176" cm="1">
        <f t="array" ref="O95">10^3*(_xlfn.XLOOKUP(O$8,'Master Data'!$C$2:$W$2,_xlfn.XLOOKUP($A95,'Master Data'!$B$3:$B$122,'Master Data'!$C$3:$W$122))-$B95)</f>
        <v>5000</v>
      </c>
      <c r="P95" s="176" cm="1">
        <f t="array" ref="P95">10^3*(_xlfn.XLOOKUP(P$8,'Master Data'!$C$2:$W$2,_xlfn.XLOOKUP($A95,'Master Data'!$B$3:$B$122,'Master Data'!$C$3:$W$122))-$B95)</f>
        <v>5000</v>
      </c>
      <c r="Q95" s="176" cm="1">
        <f t="array" ref="Q95">10^3*(_xlfn.XLOOKUP(Q$8,'Master Data'!$C$2:$W$2,_xlfn.XLOOKUP($A95,'Master Data'!$B$3:$B$122,'Master Data'!$C$3:$W$122))-$B95)</f>
        <v>5000</v>
      </c>
      <c r="R95" s="176" cm="1">
        <f t="array" ref="R95">10^3*(_xlfn.XLOOKUP(R$8,'Master Data'!$C$2:$W$2,_xlfn.XLOOKUP($A95,'Master Data'!$B$3:$B$122,'Master Data'!$C$3:$W$122))-$B95)</f>
        <v>5000</v>
      </c>
      <c r="S95" s="176" cm="1">
        <f t="array" ref="S95">10^3*(_xlfn.XLOOKUP(S$8,'Master Data'!$C$2:$W$2,_xlfn.XLOOKUP($A95,'Master Data'!$B$3:$B$122,'Master Data'!$C$3:$W$122))-$B95)</f>
        <v>5000</v>
      </c>
      <c r="T95" s="176" cm="1">
        <f t="array" ref="T95">10^3*(_xlfn.XLOOKUP(T$8,'Master Data'!$C$2:$W$2,_xlfn.XLOOKUP($A95,'Master Data'!$B$3:$B$122,'Master Data'!$C$3:$W$122))-$B95)</f>
        <v>5000</v>
      </c>
      <c r="U95" s="176" cm="1">
        <f t="array" ref="U95">10^3*(_xlfn.XLOOKUP(U$8,'Master Data'!$C$2:$W$2,_xlfn.XLOOKUP($A95,'Master Data'!$B$3:$B$122,'Master Data'!$C$3:$W$122))-$B95)</f>
        <v>5000</v>
      </c>
      <c r="V95" s="176" cm="1">
        <f t="array" ref="V95">10^3*(_xlfn.XLOOKUP(V$8,'Master Data'!$C$2:$W$2,_xlfn.XLOOKUP($A95,'Master Data'!$B$3:$B$122,'Master Data'!$C$3:$W$122))-$B95)</f>
        <v>5000</v>
      </c>
      <c r="W95" s="176" cm="1">
        <f t="array" ref="W95">10^3*(_xlfn.XLOOKUP(W$8,'Master Data'!$C$2:$W$2,_xlfn.XLOOKUP($A95,'Master Data'!$B$3:$B$122,'Master Data'!$C$3:$W$122))-$B95)</f>
        <v>5000</v>
      </c>
      <c r="X95" s="176" cm="1">
        <f t="array" ref="X95">10^3*(_xlfn.XLOOKUP(X$8,'Master Data'!$C$2:$W$2,_xlfn.XLOOKUP($A95,'Master Data'!$B$3:$B$122,'Master Data'!$C$3:$W$122))-$B95)</f>
        <v>5000</v>
      </c>
      <c r="Y95" s="177" cm="1">
        <f t="array" ref="Y95">10^3*(_xlfn.XLOOKUP(Y$8,'Master Data'!$C$2:$W$2,_xlfn.XLOOKUP($A95,'Master Data'!$B$3:$B$122,'Master Data'!$C$3:$W$122))-$B95)</f>
        <v>5000</v>
      </c>
      <c r="Z95" s="177" t="e" cm="1">
        <f t="array" ref="Z95">10^3*(_xlfn.XLOOKUP(Z$8,'Master Data'!$C$2:$W$2,_xlfn.XLOOKUP($A95,'Master Data'!$B$3:$B$122,'Master Data'!$C$3:$W$122))-$B95)</f>
        <v>#N/A</v>
      </c>
      <c r="AA95" s="177" t="e" cm="1">
        <f t="array" ref="AA95">10^3*(_xlfn.XLOOKUP(AA$8,'Master Data'!$C$2:$W$2,_xlfn.XLOOKUP($A95,'Master Data'!$B$3:$B$122,'Master Data'!$C$3:$W$122))-$B95)</f>
        <v>#N/A</v>
      </c>
    </row>
    <row r="96" spans="1:27" s="172" customFormat="1" x14ac:dyDescent="0.25">
      <c r="A96" s="173" t="s">
        <v>39</v>
      </c>
      <c r="B96" s="174">
        <v>70</v>
      </c>
      <c r="C96" s="172" t="b">
        <f>ISNUMBER(_xlfn.XMATCH(A96,'Master Data'!$B$3:$B$122))</f>
        <v>1</v>
      </c>
      <c r="E96" s="175" cm="1">
        <f t="array" ref="E96">10^3*(_xlfn.XLOOKUP(E$8,'Master Data'!$C$2:$W$2,_xlfn.XLOOKUP($A96,'Master Data'!$B$3:$B$122,'Master Data'!$C$3:$W$122))-$B96)</f>
        <v>15000</v>
      </c>
      <c r="F96" s="176" cm="1">
        <f t="array" ref="F96">10^3*(_xlfn.XLOOKUP(F$8,'Master Data'!$C$2:$W$2,_xlfn.XLOOKUP($A96,'Master Data'!$B$3:$B$122,'Master Data'!$C$3:$W$122))-$B96)</f>
        <v>15000</v>
      </c>
      <c r="G96" s="176" cm="1">
        <f t="array" ref="G96">10^3*(_xlfn.XLOOKUP(G$8,'Master Data'!$C$2:$W$2,_xlfn.XLOOKUP($A96,'Master Data'!$B$3:$B$122,'Master Data'!$C$3:$W$122))-$B96)</f>
        <v>13000</v>
      </c>
      <c r="H96" s="176" cm="1">
        <f t="array" ref="H96">10^3*(_xlfn.XLOOKUP(H$8,'Master Data'!$C$2:$W$2,_xlfn.XLOOKUP($A96,'Master Data'!$B$3:$B$122,'Master Data'!$C$3:$W$122))-$B96)</f>
        <v>13000</v>
      </c>
      <c r="I96" s="176" cm="1">
        <f t="array" ref="I96">10^3*(_xlfn.XLOOKUP(I$8,'Master Data'!$C$2:$W$2,_xlfn.XLOOKUP($A96,'Master Data'!$B$3:$B$122,'Master Data'!$C$3:$W$122))-$B96)</f>
        <v>13000</v>
      </c>
      <c r="J96" s="176" cm="1">
        <f t="array" ref="J96">10^3*(_xlfn.XLOOKUP(J$8,'Master Data'!$C$2:$W$2,_xlfn.XLOOKUP($A96,'Master Data'!$B$3:$B$122,'Master Data'!$C$3:$W$122))-$B96)</f>
        <v>13000</v>
      </c>
      <c r="K96" s="176" cm="1">
        <f t="array" ref="K96">10^3*(_xlfn.XLOOKUP(K$8,'Master Data'!$C$2:$W$2,_xlfn.XLOOKUP($A96,'Master Data'!$B$3:$B$122,'Master Data'!$C$3:$W$122))-$B96)</f>
        <v>13000</v>
      </c>
      <c r="L96" s="176" cm="1">
        <f t="array" ref="L96">10^3*(_xlfn.XLOOKUP(L$8,'Master Data'!$C$2:$W$2,_xlfn.XLOOKUP($A96,'Master Data'!$B$3:$B$122,'Master Data'!$C$3:$W$122))-$B96)</f>
        <v>13000</v>
      </c>
      <c r="M96" s="176" cm="1">
        <f t="array" ref="M96">10^3*(_xlfn.XLOOKUP(M$8,'Master Data'!$C$2:$W$2,_xlfn.XLOOKUP($A96,'Master Data'!$B$3:$B$122,'Master Data'!$C$3:$W$122))-$B96)</f>
        <v>13000</v>
      </c>
      <c r="N96" s="176" cm="1">
        <f t="array" ref="N96">10^3*(_xlfn.XLOOKUP(N$8,'Master Data'!$C$2:$W$2,_xlfn.XLOOKUP($A96,'Master Data'!$B$3:$B$122,'Master Data'!$C$3:$W$122))-$B96)</f>
        <v>13000</v>
      </c>
      <c r="O96" s="176" cm="1">
        <f t="array" ref="O96">10^3*(_xlfn.XLOOKUP(O$8,'Master Data'!$C$2:$W$2,_xlfn.XLOOKUP($A96,'Master Data'!$B$3:$B$122,'Master Data'!$C$3:$W$122))-$B96)</f>
        <v>13000</v>
      </c>
      <c r="P96" s="176" cm="1">
        <f t="array" ref="P96">10^3*(_xlfn.XLOOKUP(P$8,'Master Data'!$C$2:$W$2,_xlfn.XLOOKUP($A96,'Master Data'!$B$3:$B$122,'Master Data'!$C$3:$W$122))-$B96)</f>
        <v>15000</v>
      </c>
      <c r="Q96" s="176" cm="1">
        <f t="array" ref="Q96">10^3*(_xlfn.XLOOKUP(Q$8,'Master Data'!$C$2:$W$2,_xlfn.XLOOKUP($A96,'Master Data'!$B$3:$B$122,'Master Data'!$C$3:$W$122))-$B96)</f>
        <v>15000</v>
      </c>
      <c r="R96" s="176" cm="1">
        <f t="array" ref="R96">10^3*(_xlfn.XLOOKUP(R$8,'Master Data'!$C$2:$W$2,_xlfn.XLOOKUP($A96,'Master Data'!$B$3:$B$122,'Master Data'!$C$3:$W$122))-$B96)</f>
        <v>15000</v>
      </c>
      <c r="S96" s="176" cm="1">
        <f t="array" ref="S96">10^3*(_xlfn.XLOOKUP(S$8,'Master Data'!$C$2:$W$2,_xlfn.XLOOKUP($A96,'Master Data'!$B$3:$B$122,'Master Data'!$C$3:$W$122))-$B96)</f>
        <v>13000</v>
      </c>
      <c r="T96" s="176" cm="1">
        <f t="array" ref="T96">10^3*(_xlfn.XLOOKUP(T$8,'Master Data'!$C$2:$W$2,_xlfn.XLOOKUP($A96,'Master Data'!$B$3:$B$122,'Master Data'!$C$3:$W$122))-$B96)</f>
        <v>15000</v>
      </c>
      <c r="U96" s="176" cm="1">
        <f t="array" ref="U96">10^3*(_xlfn.XLOOKUP(U$8,'Master Data'!$C$2:$W$2,_xlfn.XLOOKUP($A96,'Master Data'!$B$3:$B$122,'Master Data'!$C$3:$W$122))-$B96)</f>
        <v>15000</v>
      </c>
      <c r="V96" s="176" cm="1">
        <f t="array" ref="V96">10^3*(_xlfn.XLOOKUP(V$8,'Master Data'!$C$2:$W$2,_xlfn.XLOOKUP($A96,'Master Data'!$B$3:$B$122,'Master Data'!$C$3:$W$122))-$B96)</f>
        <v>15000</v>
      </c>
      <c r="W96" s="176" cm="1">
        <f t="array" ref="W96">10^3*(_xlfn.XLOOKUP(W$8,'Master Data'!$C$2:$W$2,_xlfn.XLOOKUP($A96,'Master Data'!$B$3:$B$122,'Master Data'!$C$3:$W$122))-$B96)</f>
        <v>13000</v>
      </c>
      <c r="X96" s="176" cm="1">
        <f t="array" ref="X96">10^3*(_xlfn.XLOOKUP(X$8,'Master Data'!$C$2:$W$2,_xlfn.XLOOKUP($A96,'Master Data'!$B$3:$B$122,'Master Data'!$C$3:$W$122))-$B96)</f>
        <v>10000</v>
      </c>
      <c r="Y96" s="177" cm="1">
        <f t="array" ref="Y96">10^3*(_xlfn.XLOOKUP(Y$8,'Master Data'!$C$2:$W$2,_xlfn.XLOOKUP($A96,'Master Data'!$B$3:$B$122,'Master Data'!$C$3:$W$122))-$B96)</f>
        <v>13000</v>
      </c>
      <c r="Z96" s="177" t="e" cm="1">
        <f t="array" ref="Z96">10^3*(_xlfn.XLOOKUP(Z$8,'Master Data'!$C$2:$W$2,_xlfn.XLOOKUP($A96,'Master Data'!$B$3:$B$122,'Master Data'!$C$3:$W$122))-$B96)</f>
        <v>#N/A</v>
      </c>
      <c r="AA96" s="177" t="e" cm="1">
        <f t="array" ref="AA96">10^3*(_xlfn.XLOOKUP(AA$8,'Master Data'!$C$2:$W$2,_xlfn.XLOOKUP($A96,'Master Data'!$B$3:$B$122,'Master Data'!$C$3:$W$122))-$B96)</f>
        <v>#N/A</v>
      </c>
    </row>
    <row r="97" spans="1:27" s="172" customFormat="1" x14ac:dyDescent="0.25">
      <c r="A97" s="173" t="s">
        <v>128</v>
      </c>
      <c r="B97" s="174">
        <v>70</v>
      </c>
      <c r="C97" s="172" t="b">
        <f>ISNUMBER(_xlfn.XMATCH(A97,'Master Data'!$B$3:$B$122))</f>
        <v>1</v>
      </c>
      <c r="E97" s="175" cm="1">
        <f t="array" ref="E97">10^3*(_xlfn.XLOOKUP(E$8,'Master Data'!$C$2:$W$2,_xlfn.XLOOKUP($A97,'Master Data'!$B$3:$B$122,'Master Data'!$C$3:$W$122))-$B97)</f>
        <v>10000</v>
      </c>
      <c r="F97" s="176" cm="1">
        <f t="array" ref="F97">10^3*(_xlfn.XLOOKUP(F$8,'Master Data'!$C$2:$W$2,_xlfn.XLOOKUP($A97,'Master Data'!$B$3:$B$122,'Master Data'!$C$3:$W$122))-$B97)</f>
        <v>10000</v>
      </c>
      <c r="G97" s="176" cm="1">
        <f t="array" ref="G97">10^3*(_xlfn.XLOOKUP(G$8,'Master Data'!$C$2:$W$2,_xlfn.XLOOKUP($A97,'Master Data'!$B$3:$B$122,'Master Data'!$C$3:$W$122))-$B97)</f>
        <v>10000</v>
      </c>
      <c r="H97" s="176" cm="1">
        <f t="array" ref="H97">10^3*(_xlfn.XLOOKUP(H$8,'Master Data'!$C$2:$W$2,_xlfn.XLOOKUP($A97,'Master Data'!$B$3:$B$122,'Master Data'!$C$3:$W$122))-$B97)</f>
        <v>10000</v>
      </c>
      <c r="I97" s="176" cm="1">
        <f t="array" ref="I97">10^3*(_xlfn.XLOOKUP(I$8,'Master Data'!$C$2:$W$2,_xlfn.XLOOKUP($A97,'Master Data'!$B$3:$B$122,'Master Data'!$C$3:$W$122))-$B97)</f>
        <v>10000</v>
      </c>
      <c r="J97" s="176" cm="1">
        <f t="array" ref="J97">10^3*(_xlfn.XLOOKUP(J$8,'Master Data'!$C$2:$W$2,_xlfn.XLOOKUP($A97,'Master Data'!$B$3:$B$122,'Master Data'!$C$3:$W$122))-$B97)</f>
        <v>10000</v>
      </c>
      <c r="K97" s="176" cm="1">
        <f t="array" ref="K97">10^3*(_xlfn.XLOOKUP(K$8,'Master Data'!$C$2:$W$2,_xlfn.XLOOKUP($A97,'Master Data'!$B$3:$B$122,'Master Data'!$C$3:$W$122))-$B97)</f>
        <v>10000</v>
      </c>
      <c r="L97" s="176" cm="1">
        <f t="array" ref="L97">10^3*(_xlfn.XLOOKUP(L$8,'Master Data'!$C$2:$W$2,_xlfn.XLOOKUP($A97,'Master Data'!$B$3:$B$122,'Master Data'!$C$3:$W$122))-$B97)</f>
        <v>10000</v>
      </c>
      <c r="M97" s="176" cm="1">
        <f t="array" ref="M97">10^3*(_xlfn.XLOOKUP(M$8,'Master Data'!$C$2:$W$2,_xlfn.XLOOKUP($A97,'Master Data'!$B$3:$B$122,'Master Data'!$C$3:$W$122))-$B97)</f>
        <v>10000</v>
      </c>
      <c r="N97" s="176" cm="1">
        <f t="array" ref="N97">10^3*(_xlfn.XLOOKUP(N$8,'Master Data'!$C$2:$W$2,_xlfn.XLOOKUP($A97,'Master Data'!$B$3:$B$122,'Master Data'!$C$3:$W$122))-$B97)</f>
        <v>10000</v>
      </c>
      <c r="O97" s="176" cm="1">
        <f t="array" ref="O97">10^3*(_xlfn.XLOOKUP(O$8,'Master Data'!$C$2:$W$2,_xlfn.XLOOKUP($A97,'Master Data'!$B$3:$B$122,'Master Data'!$C$3:$W$122))-$B97)</f>
        <v>10000</v>
      </c>
      <c r="P97" s="176" cm="1">
        <f t="array" ref="P97">10^3*(_xlfn.XLOOKUP(P$8,'Master Data'!$C$2:$W$2,_xlfn.XLOOKUP($A97,'Master Data'!$B$3:$B$122,'Master Data'!$C$3:$W$122))-$B97)</f>
        <v>10000</v>
      </c>
      <c r="Q97" s="176" cm="1">
        <f t="array" ref="Q97">10^3*(_xlfn.XLOOKUP(Q$8,'Master Data'!$C$2:$W$2,_xlfn.XLOOKUP($A97,'Master Data'!$B$3:$B$122,'Master Data'!$C$3:$W$122))-$B97)</f>
        <v>10000</v>
      </c>
      <c r="R97" s="176" cm="1">
        <f t="array" ref="R97">10^3*(_xlfn.XLOOKUP(R$8,'Master Data'!$C$2:$W$2,_xlfn.XLOOKUP($A97,'Master Data'!$B$3:$B$122,'Master Data'!$C$3:$W$122))-$B97)</f>
        <v>10000</v>
      </c>
      <c r="S97" s="176" cm="1">
        <f t="array" ref="S97">10^3*(_xlfn.XLOOKUP(S$8,'Master Data'!$C$2:$W$2,_xlfn.XLOOKUP($A97,'Master Data'!$B$3:$B$122,'Master Data'!$C$3:$W$122))-$B97)</f>
        <v>10000</v>
      </c>
      <c r="T97" s="176" cm="1">
        <f t="array" ref="T97">10^3*(_xlfn.XLOOKUP(T$8,'Master Data'!$C$2:$W$2,_xlfn.XLOOKUP($A97,'Master Data'!$B$3:$B$122,'Master Data'!$C$3:$W$122))-$B97)</f>
        <v>10000</v>
      </c>
      <c r="U97" s="176" cm="1">
        <f t="array" ref="U97">10^3*(_xlfn.XLOOKUP(U$8,'Master Data'!$C$2:$W$2,_xlfn.XLOOKUP($A97,'Master Data'!$B$3:$B$122,'Master Data'!$C$3:$W$122))-$B97)</f>
        <v>10000</v>
      </c>
      <c r="V97" s="176" cm="1">
        <f t="array" ref="V97">10^3*(_xlfn.XLOOKUP(V$8,'Master Data'!$C$2:$W$2,_xlfn.XLOOKUP($A97,'Master Data'!$B$3:$B$122,'Master Data'!$C$3:$W$122))-$B97)</f>
        <v>10000</v>
      </c>
      <c r="W97" s="176" cm="1">
        <f t="array" ref="W97">10^3*(_xlfn.XLOOKUP(W$8,'Master Data'!$C$2:$W$2,_xlfn.XLOOKUP($A97,'Master Data'!$B$3:$B$122,'Master Data'!$C$3:$W$122))-$B97)</f>
        <v>10000</v>
      </c>
      <c r="X97" s="176" cm="1">
        <f t="array" ref="X97">10^3*(_xlfn.XLOOKUP(X$8,'Master Data'!$C$2:$W$2,_xlfn.XLOOKUP($A97,'Master Data'!$B$3:$B$122,'Master Data'!$C$3:$W$122))-$B97)</f>
        <v>10000</v>
      </c>
      <c r="Y97" s="177" cm="1">
        <f t="array" ref="Y97">10^3*(_xlfn.XLOOKUP(Y$8,'Master Data'!$C$2:$W$2,_xlfn.XLOOKUP($A97,'Master Data'!$B$3:$B$122,'Master Data'!$C$3:$W$122))-$B97)</f>
        <v>10000</v>
      </c>
      <c r="Z97" s="177" t="e" cm="1">
        <f t="array" ref="Z97">10^3*(_xlfn.XLOOKUP(Z$8,'Master Data'!$C$2:$W$2,_xlfn.XLOOKUP($A97,'Master Data'!$B$3:$B$122,'Master Data'!$C$3:$W$122))-$B97)</f>
        <v>#N/A</v>
      </c>
      <c r="AA97" s="177" t="e" cm="1">
        <f t="array" ref="AA97">10^3*(_xlfn.XLOOKUP(AA$8,'Master Data'!$C$2:$W$2,_xlfn.XLOOKUP($A97,'Master Data'!$B$3:$B$122,'Master Data'!$C$3:$W$122))-$B97)</f>
        <v>#N/A</v>
      </c>
    </row>
    <row r="98" spans="1:27" s="172" customFormat="1" x14ac:dyDescent="0.25">
      <c r="A98" s="173" t="s">
        <v>129</v>
      </c>
      <c r="B98" s="174">
        <v>70</v>
      </c>
      <c r="C98" s="172" t="b">
        <f>ISNUMBER(_xlfn.XMATCH(A98,'Master Data'!$B$3:$B$122))</f>
        <v>1</v>
      </c>
      <c r="E98" s="175" cm="1">
        <f t="array" ref="E98">10^3*(_xlfn.XLOOKUP(E$8,'Master Data'!$C$2:$W$2,_xlfn.XLOOKUP($A98,'Master Data'!$B$3:$B$122,'Master Data'!$C$3:$W$122))-$B98)</f>
        <v>10000</v>
      </c>
      <c r="F98" s="176" cm="1">
        <f t="array" ref="F98">10^3*(_xlfn.XLOOKUP(F$8,'Master Data'!$C$2:$W$2,_xlfn.XLOOKUP($A98,'Master Data'!$B$3:$B$122,'Master Data'!$C$3:$W$122))-$B98)</f>
        <v>10000</v>
      </c>
      <c r="G98" s="176" cm="1">
        <f t="array" ref="G98">10^3*(_xlfn.XLOOKUP(G$8,'Master Data'!$C$2:$W$2,_xlfn.XLOOKUP($A98,'Master Data'!$B$3:$B$122,'Master Data'!$C$3:$W$122))-$B98)</f>
        <v>10000</v>
      </c>
      <c r="H98" s="176" cm="1">
        <f t="array" ref="H98">10^3*(_xlfn.XLOOKUP(H$8,'Master Data'!$C$2:$W$2,_xlfn.XLOOKUP($A98,'Master Data'!$B$3:$B$122,'Master Data'!$C$3:$W$122))-$B98)</f>
        <v>10000</v>
      </c>
      <c r="I98" s="176" cm="1">
        <f t="array" ref="I98">10^3*(_xlfn.XLOOKUP(I$8,'Master Data'!$C$2:$W$2,_xlfn.XLOOKUP($A98,'Master Data'!$B$3:$B$122,'Master Data'!$C$3:$W$122))-$B98)</f>
        <v>10000</v>
      </c>
      <c r="J98" s="176" cm="1">
        <f t="array" ref="J98">10^3*(_xlfn.XLOOKUP(J$8,'Master Data'!$C$2:$W$2,_xlfn.XLOOKUP($A98,'Master Data'!$B$3:$B$122,'Master Data'!$C$3:$W$122))-$B98)</f>
        <v>10000</v>
      </c>
      <c r="K98" s="176" cm="1">
        <f t="array" ref="K98">10^3*(_xlfn.XLOOKUP(K$8,'Master Data'!$C$2:$W$2,_xlfn.XLOOKUP($A98,'Master Data'!$B$3:$B$122,'Master Data'!$C$3:$W$122))-$B98)</f>
        <v>10000</v>
      </c>
      <c r="L98" s="176" cm="1">
        <f t="array" ref="L98">10^3*(_xlfn.XLOOKUP(L$8,'Master Data'!$C$2:$W$2,_xlfn.XLOOKUP($A98,'Master Data'!$B$3:$B$122,'Master Data'!$C$3:$W$122))-$B98)</f>
        <v>10000</v>
      </c>
      <c r="M98" s="176" cm="1">
        <f t="array" ref="M98">10^3*(_xlfn.XLOOKUP(M$8,'Master Data'!$C$2:$W$2,_xlfn.XLOOKUP($A98,'Master Data'!$B$3:$B$122,'Master Data'!$C$3:$W$122))-$B98)</f>
        <v>10000</v>
      </c>
      <c r="N98" s="176" cm="1">
        <f t="array" ref="N98">10^3*(_xlfn.XLOOKUP(N$8,'Master Data'!$C$2:$W$2,_xlfn.XLOOKUP($A98,'Master Data'!$B$3:$B$122,'Master Data'!$C$3:$W$122))-$B98)</f>
        <v>10000</v>
      </c>
      <c r="O98" s="176" cm="1">
        <f t="array" ref="O98">10^3*(_xlfn.XLOOKUP(O$8,'Master Data'!$C$2:$W$2,_xlfn.XLOOKUP($A98,'Master Data'!$B$3:$B$122,'Master Data'!$C$3:$W$122))-$B98)</f>
        <v>10000</v>
      </c>
      <c r="P98" s="176" cm="1">
        <f t="array" ref="P98">10^3*(_xlfn.XLOOKUP(P$8,'Master Data'!$C$2:$W$2,_xlfn.XLOOKUP($A98,'Master Data'!$B$3:$B$122,'Master Data'!$C$3:$W$122))-$B98)</f>
        <v>10000</v>
      </c>
      <c r="Q98" s="176" cm="1">
        <f t="array" ref="Q98">10^3*(_xlfn.XLOOKUP(Q$8,'Master Data'!$C$2:$W$2,_xlfn.XLOOKUP($A98,'Master Data'!$B$3:$B$122,'Master Data'!$C$3:$W$122))-$B98)</f>
        <v>10000</v>
      </c>
      <c r="R98" s="176" cm="1">
        <f t="array" ref="R98">10^3*(_xlfn.XLOOKUP(R$8,'Master Data'!$C$2:$W$2,_xlfn.XLOOKUP($A98,'Master Data'!$B$3:$B$122,'Master Data'!$C$3:$W$122))-$B98)</f>
        <v>10000</v>
      </c>
      <c r="S98" s="176" cm="1">
        <f t="array" ref="S98">10^3*(_xlfn.XLOOKUP(S$8,'Master Data'!$C$2:$W$2,_xlfn.XLOOKUP($A98,'Master Data'!$B$3:$B$122,'Master Data'!$C$3:$W$122))-$B98)</f>
        <v>10000</v>
      </c>
      <c r="T98" s="176" cm="1">
        <f t="array" ref="T98">10^3*(_xlfn.XLOOKUP(T$8,'Master Data'!$C$2:$W$2,_xlfn.XLOOKUP($A98,'Master Data'!$B$3:$B$122,'Master Data'!$C$3:$W$122))-$B98)</f>
        <v>10000</v>
      </c>
      <c r="U98" s="176" cm="1">
        <f t="array" ref="U98">10^3*(_xlfn.XLOOKUP(U$8,'Master Data'!$C$2:$W$2,_xlfn.XLOOKUP($A98,'Master Data'!$B$3:$B$122,'Master Data'!$C$3:$W$122))-$B98)</f>
        <v>10000</v>
      </c>
      <c r="V98" s="176" cm="1">
        <f t="array" ref="V98">10^3*(_xlfn.XLOOKUP(V$8,'Master Data'!$C$2:$W$2,_xlfn.XLOOKUP($A98,'Master Data'!$B$3:$B$122,'Master Data'!$C$3:$W$122))-$B98)</f>
        <v>10000</v>
      </c>
      <c r="W98" s="176" cm="1">
        <f t="array" ref="W98">10^3*(_xlfn.XLOOKUP(W$8,'Master Data'!$C$2:$W$2,_xlfn.XLOOKUP($A98,'Master Data'!$B$3:$B$122,'Master Data'!$C$3:$W$122))-$B98)</f>
        <v>10000</v>
      </c>
      <c r="X98" s="176" cm="1">
        <f t="array" ref="X98">10^3*(_xlfn.XLOOKUP(X$8,'Master Data'!$C$2:$W$2,_xlfn.XLOOKUP($A98,'Master Data'!$B$3:$B$122,'Master Data'!$C$3:$W$122))-$B98)</f>
        <v>10000</v>
      </c>
      <c r="Y98" s="177" cm="1">
        <f t="array" ref="Y98">10^3*(_xlfn.XLOOKUP(Y$8,'Master Data'!$C$2:$W$2,_xlfn.XLOOKUP($A98,'Master Data'!$B$3:$B$122,'Master Data'!$C$3:$W$122))-$B98)</f>
        <v>10000</v>
      </c>
      <c r="Z98" s="177" t="e" cm="1">
        <f t="array" ref="Z98">10^3*(_xlfn.XLOOKUP(Z$8,'Master Data'!$C$2:$W$2,_xlfn.XLOOKUP($A98,'Master Data'!$B$3:$B$122,'Master Data'!$C$3:$W$122))-$B98)</f>
        <v>#N/A</v>
      </c>
      <c r="AA98" s="177" t="e" cm="1">
        <f t="array" ref="AA98">10^3*(_xlfn.XLOOKUP(AA$8,'Master Data'!$C$2:$W$2,_xlfn.XLOOKUP($A98,'Master Data'!$B$3:$B$122,'Master Data'!$C$3:$W$122))-$B98)</f>
        <v>#N/A</v>
      </c>
    </row>
    <row r="99" spans="1:27" s="172" customFormat="1" x14ac:dyDescent="0.25">
      <c r="A99" s="173" t="s">
        <v>130</v>
      </c>
      <c r="B99" s="174">
        <v>70</v>
      </c>
      <c r="C99" s="172" t="b">
        <f>ISNUMBER(_xlfn.XMATCH(A99,'Master Data'!$B$3:$B$122))</f>
        <v>1</v>
      </c>
      <c r="E99" s="175" cm="1">
        <f t="array" ref="E99">10^3*(_xlfn.XLOOKUP(E$8,'Master Data'!$C$2:$W$2,_xlfn.XLOOKUP($A99,'Master Data'!$B$3:$B$122,'Master Data'!$C$3:$W$122))-$B99)</f>
        <v>10000</v>
      </c>
      <c r="F99" s="176" cm="1">
        <f t="array" ref="F99">10^3*(_xlfn.XLOOKUP(F$8,'Master Data'!$C$2:$W$2,_xlfn.XLOOKUP($A99,'Master Data'!$B$3:$B$122,'Master Data'!$C$3:$W$122))-$B99)</f>
        <v>10000</v>
      </c>
      <c r="G99" s="176" cm="1">
        <f t="array" ref="G99">10^3*(_xlfn.XLOOKUP(G$8,'Master Data'!$C$2:$W$2,_xlfn.XLOOKUP($A99,'Master Data'!$B$3:$B$122,'Master Data'!$C$3:$W$122))-$B99)</f>
        <v>10000</v>
      </c>
      <c r="H99" s="176" cm="1">
        <f t="array" ref="H99">10^3*(_xlfn.XLOOKUP(H$8,'Master Data'!$C$2:$W$2,_xlfn.XLOOKUP($A99,'Master Data'!$B$3:$B$122,'Master Data'!$C$3:$W$122))-$B99)</f>
        <v>10000</v>
      </c>
      <c r="I99" s="176" cm="1">
        <f t="array" ref="I99">10^3*(_xlfn.XLOOKUP(I$8,'Master Data'!$C$2:$W$2,_xlfn.XLOOKUP($A99,'Master Data'!$B$3:$B$122,'Master Data'!$C$3:$W$122))-$B99)</f>
        <v>10000</v>
      </c>
      <c r="J99" s="176" cm="1">
        <f t="array" ref="J99">10^3*(_xlfn.XLOOKUP(J$8,'Master Data'!$C$2:$W$2,_xlfn.XLOOKUP($A99,'Master Data'!$B$3:$B$122,'Master Data'!$C$3:$W$122))-$B99)</f>
        <v>10000</v>
      </c>
      <c r="K99" s="176" cm="1">
        <f t="array" ref="K99">10^3*(_xlfn.XLOOKUP(K$8,'Master Data'!$C$2:$W$2,_xlfn.XLOOKUP($A99,'Master Data'!$B$3:$B$122,'Master Data'!$C$3:$W$122))-$B99)</f>
        <v>10000</v>
      </c>
      <c r="L99" s="176" cm="1">
        <f t="array" ref="L99">10^3*(_xlfn.XLOOKUP(L$8,'Master Data'!$C$2:$W$2,_xlfn.XLOOKUP($A99,'Master Data'!$B$3:$B$122,'Master Data'!$C$3:$W$122))-$B99)</f>
        <v>10000</v>
      </c>
      <c r="M99" s="176" cm="1">
        <f t="array" ref="M99">10^3*(_xlfn.XLOOKUP(M$8,'Master Data'!$C$2:$W$2,_xlfn.XLOOKUP($A99,'Master Data'!$B$3:$B$122,'Master Data'!$C$3:$W$122))-$B99)</f>
        <v>10000</v>
      </c>
      <c r="N99" s="176" cm="1">
        <f t="array" ref="N99">10^3*(_xlfn.XLOOKUP(N$8,'Master Data'!$C$2:$W$2,_xlfn.XLOOKUP($A99,'Master Data'!$B$3:$B$122,'Master Data'!$C$3:$W$122))-$B99)</f>
        <v>10000</v>
      </c>
      <c r="O99" s="176" cm="1">
        <f t="array" ref="O99">10^3*(_xlfn.XLOOKUP(O$8,'Master Data'!$C$2:$W$2,_xlfn.XLOOKUP($A99,'Master Data'!$B$3:$B$122,'Master Data'!$C$3:$W$122))-$B99)</f>
        <v>10000</v>
      </c>
      <c r="P99" s="176" cm="1">
        <f t="array" ref="P99">10^3*(_xlfn.XLOOKUP(P$8,'Master Data'!$C$2:$W$2,_xlfn.XLOOKUP($A99,'Master Data'!$B$3:$B$122,'Master Data'!$C$3:$W$122))-$B99)</f>
        <v>10000</v>
      </c>
      <c r="Q99" s="176" cm="1">
        <f t="array" ref="Q99">10^3*(_xlfn.XLOOKUP(Q$8,'Master Data'!$C$2:$W$2,_xlfn.XLOOKUP($A99,'Master Data'!$B$3:$B$122,'Master Data'!$C$3:$W$122))-$B99)</f>
        <v>10000</v>
      </c>
      <c r="R99" s="176" cm="1">
        <f t="array" ref="R99">10^3*(_xlfn.XLOOKUP(R$8,'Master Data'!$C$2:$W$2,_xlfn.XLOOKUP($A99,'Master Data'!$B$3:$B$122,'Master Data'!$C$3:$W$122))-$B99)</f>
        <v>10000</v>
      </c>
      <c r="S99" s="176" cm="1">
        <f t="array" ref="S99">10^3*(_xlfn.XLOOKUP(S$8,'Master Data'!$C$2:$W$2,_xlfn.XLOOKUP($A99,'Master Data'!$B$3:$B$122,'Master Data'!$C$3:$W$122))-$B99)</f>
        <v>10000</v>
      </c>
      <c r="T99" s="176" cm="1">
        <f t="array" ref="T99">10^3*(_xlfn.XLOOKUP(T$8,'Master Data'!$C$2:$W$2,_xlfn.XLOOKUP($A99,'Master Data'!$B$3:$B$122,'Master Data'!$C$3:$W$122))-$B99)</f>
        <v>10000</v>
      </c>
      <c r="U99" s="176" cm="1">
        <f t="array" ref="U99">10^3*(_xlfn.XLOOKUP(U$8,'Master Data'!$C$2:$W$2,_xlfn.XLOOKUP($A99,'Master Data'!$B$3:$B$122,'Master Data'!$C$3:$W$122))-$B99)</f>
        <v>10000</v>
      </c>
      <c r="V99" s="176" cm="1">
        <f t="array" ref="V99">10^3*(_xlfn.XLOOKUP(V$8,'Master Data'!$C$2:$W$2,_xlfn.XLOOKUP($A99,'Master Data'!$B$3:$B$122,'Master Data'!$C$3:$W$122))-$B99)</f>
        <v>10000</v>
      </c>
      <c r="W99" s="176" cm="1">
        <f t="array" ref="W99">10^3*(_xlfn.XLOOKUP(W$8,'Master Data'!$C$2:$W$2,_xlfn.XLOOKUP($A99,'Master Data'!$B$3:$B$122,'Master Data'!$C$3:$W$122))-$B99)</f>
        <v>10000</v>
      </c>
      <c r="X99" s="176" cm="1">
        <f t="array" ref="X99">10^3*(_xlfn.XLOOKUP(X$8,'Master Data'!$C$2:$W$2,_xlfn.XLOOKUP($A99,'Master Data'!$B$3:$B$122,'Master Data'!$C$3:$W$122))-$B99)</f>
        <v>10000</v>
      </c>
      <c r="Y99" s="177" cm="1">
        <f t="array" ref="Y99">10^3*(_xlfn.XLOOKUP(Y$8,'Master Data'!$C$2:$W$2,_xlfn.XLOOKUP($A99,'Master Data'!$B$3:$B$122,'Master Data'!$C$3:$W$122))-$B99)</f>
        <v>10000</v>
      </c>
      <c r="Z99" s="177" t="e" cm="1">
        <f t="array" ref="Z99">10^3*(_xlfn.XLOOKUP(Z$8,'Master Data'!$C$2:$W$2,_xlfn.XLOOKUP($A99,'Master Data'!$B$3:$B$122,'Master Data'!$C$3:$W$122))-$B99)</f>
        <v>#N/A</v>
      </c>
      <c r="AA99" s="177" t="e" cm="1">
        <f t="array" ref="AA99">10^3*(_xlfn.XLOOKUP(AA$8,'Master Data'!$C$2:$W$2,_xlfn.XLOOKUP($A99,'Master Data'!$B$3:$B$122,'Master Data'!$C$3:$W$122))-$B99)</f>
        <v>#N/A</v>
      </c>
    </row>
    <row r="100" spans="1:27" s="172" customFormat="1" x14ac:dyDescent="0.25">
      <c r="A100" s="173" t="s">
        <v>131</v>
      </c>
      <c r="B100" s="174">
        <v>70</v>
      </c>
      <c r="C100" s="172" t="b">
        <f>ISNUMBER(_xlfn.XMATCH(A100,'Master Data'!$B$3:$B$122))</f>
        <v>1</v>
      </c>
      <c r="E100" s="175" cm="1">
        <f t="array" ref="E100">10^3*(_xlfn.XLOOKUP(E$8,'Master Data'!$C$2:$W$2,_xlfn.XLOOKUP($A100,'Master Data'!$B$3:$B$122,'Master Data'!$C$3:$W$122))-$B100)</f>
        <v>10000</v>
      </c>
      <c r="F100" s="176" cm="1">
        <f t="array" ref="F100">10^3*(_xlfn.XLOOKUP(F$8,'Master Data'!$C$2:$W$2,_xlfn.XLOOKUP($A100,'Master Data'!$B$3:$B$122,'Master Data'!$C$3:$W$122))-$B100)</f>
        <v>10000</v>
      </c>
      <c r="G100" s="176" cm="1">
        <f t="array" ref="G100">10^3*(_xlfn.XLOOKUP(G$8,'Master Data'!$C$2:$W$2,_xlfn.XLOOKUP($A100,'Master Data'!$B$3:$B$122,'Master Data'!$C$3:$W$122))-$B100)</f>
        <v>10000</v>
      </c>
      <c r="H100" s="176" cm="1">
        <f t="array" ref="H100">10^3*(_xlfn.XLOOKUP(H$8,'Master Data'!$C$2:$W$2,_xlfn.XLOOKUP($A100,'Master Data'!$B$3:$B$122,'Master Data'!$C$3:$W$122))-$B100)</f>
        <v>10000</v>
      </c>
      <c r="I100" s="176" cm="1">
        <f t="array" ref="I100">10^3*(_xlfn.XLOOKUP(I$8,'Master Data'!$C$2:$W$2,_xlfn.XLOOKUP($A100,'Master Data'!$B$3:$B$122,'Master Data'!$C$3:$W$122))-$B100)</f>
        <v>10000</v>
      </c>
      <c r="J100" s="176" cm="1">
        <f t="array" ref="J100">10^3*(_xlfn.XLOOKUP(J$8,'Master Data'!$C$2:$W$2,_xlfn.XLOOKUP($A100,'Master Data'!$B$3:$B$122,'Master Data'!$C$3:$W$122))-$B100)</f>
        <v>10000</v>
      </c>
      <c r="K100" s="176" cm="1">
        <f t="array" ref="K100">10^3*(_xlfn.XLOOKUP(K$8,'Master Data'!$C$2:$W$2,_xlfn.XLOOKUP($A100,'Master Data'!$B$3:$B$122,'Master Data'!$C$3:$W$122))-$B100)</f>
        <v>10000</v>
      </c>
      <c r="L100" s="176" cm="1">
        <f t="array" ref="L100">10^3*(_xlfn.XLOOKUP(L$8,'Master Data'!$C$2:$W$2,_xlfn.XLOOKUP($A100,'Master Data'!$B$3:$B$122,'Master Data'!$C$3:$W$122))-$B100)</f>
        <v>10000</v>
      </c>
      <c r="M100" s="176" cm="1">
        <f t="array" ref="M100">10^3*(_xlfn.XLOOKUP(M$8,'Master Data'!$C$2:$W$2,_xlfn.XLOOKUP($A100,'Master Data'!$B$3:$B$122,'Master Data'!$C$3:$W$122))-$B100)</f>
        <v>10000</v>
      </c>
      <c r="N100" s="176" cm="1">
        <f t="array" ref="N100">10^3*(_xlfn.XLOOKUP(N$8,'Master Data'!$C$2:$W$2,_xlfn.XLOOKUP($A100,'Master Data'!$B$3:$B$122,'Master Data'!$C$3:$W$122))-$B100)</f>
        <v>10000</v>
      </c>
      <c r="O100" s="176" cm="1">
        <f t="array" ref="O100">10^3*(_xlfn.XLOOKUP(O$8,'Master Data'!$C$2:$W$2,_xlfn.XLOOKUP($A100,'Master Data'!$B$3:$B$122,'Master Data'!$C$3:$W$122))-$B100)</f>
        <v>10000</v>
      </c>
      <c r="P100" s="176" cm="1">
        <f t="array" ref="P100">10^3*(_xlfn.XLOOKUP(P$8,'Master Data'!$C$2:$W$2,_xlfn.XLOOKUP($A100,'Master Data'!$B$3:$B$122,'Master Data'!$C$3:$W$122))-$B100)</f>
        <v>10000</v>
      </c>
      <c r="Q100" s="176" cm="1">
        <f t="array" ref="Q100">10^3*(_xlfn.XLOOKUP(Q$8,'Master Data'!$C$2:$W$2,_xlfn.XLOOKUP($A100,'Master Data'!$B$3:$B$122,'Master Data'!$C$3:$W$122))-$B100)</f>
        <v>10000</v>
      </c>
      <c r="R100" s="176" cm="1">
        <f t="array" ref="R100">10^3*(_xlfn.XLOOKUP(R$8,'Master Data'!$C$2:$W$2,_xlfn.XLOOKUP($A100,'Master Data'!$B$3:$B$122,'Master Data'!$C$3:$W$122))-$B100)</f>
        <v>10000</v>
      </c>
      <c r="S100" s="176" cm="1">
        <f t="array" ref="S100">10^3*(_xlfn.XLOOKUP(S$8,'Master Data'!$C$2:$W$2,_xlfn.XLOOKUP($A100,'Master Data'!$B$3:$B$122,'Master Data'!$C$3:$W$122))-$B100)</f>
        <v>10000</v>
      </c>
      <c r="T100" s="176" cm="1">
        <f t="array" ref="T100">10^3*(_xlfn.XLOOKUP(T$8,'Master Data'!$C$2:$W$2,_xlfn.XLOOKUP($A100,'Master Data'!$B$3:$B$122,'Master Data'!$C$3:$W$122))-$B100)</f>
        <v>10000</v>
      </c>
      <c r="U100" s="176" cm="1">
        <f t="array" ref="U100">10^3*(_xlfn.XLOOKUP(U$8,'Master Data'!$C$2:$W$2,_xlfn.XLOOKUP($A100,'Master Data'!$B$3:$B$122,'Master Data'!$C$3:$W$122))-$B100)</f>
        <v>10000</v>
      </c>
      <c r="V100" s="176" cm="1">
        <f t="array" ref="V100">10^3*(_xlfn.XLOOKUP(V$8,'Master Data'!$C$2:$W$2,_xlfn.XLOOKUP($A100,'Master Data'!$B$3:$B$122,'Master Data'!$C$3:$W$122))-$B100)</f>
        <v>10000</v>
      </c>
      <c r="W100" s="176" cm="1">
        <f t="array" ref="W100">10^3*(_xlfn.XLOOKUP(W$8,'Master Data'!$C$2:$W$2,_xlfn.XLOOKUP($A100,'Master Data'!$B$3:$B$122,'Master Data'!$C$3:$W$122))-$B100)</f>
        <v>10000</v>
      </c>
      <c r="X100" s="176" cm="1">
        <f t="array" ref="X100">10^3*(_xlfn.XLOOKUP(X$8,'Master Data'!$C$2:$W$2,_xlfn.XLOOKUP($A100,'Master Data'!$B$3:$B$122,'Master Data'!$C$3:$W$122))-$B100)</f>
        <v>10000</v>
      </c>
      <c r="Y100" s="177" cm="1">
        <f t="array" ref="Y100">10^3*(_xlfn.XLOOKUP(Y$8,'Master Data'!$C$2:$W$2,_xlfn.XLOOKUP($A100,'Master Data'!$B$3:$B$122,'Master Data'!$C$3:$W$122))-$B100)</f>
        <v>10000</v>
      </c>
      <c r="Z100" s="177" t="e" cm="1">
        <f t="array" ref="Z100">10^3*(_xlfn.XLOOKUP(Z$8,'Master Data'!$C$2:$W$2,_xlfn.XLOOKUP($A100,'Master Data'!$B$3:$B$122,'Master Data'!$C$3:$W$122))-$B100)</f>
        <v>#N/A</v>
      </c>
      <c r="AA100" s="177" t="e" cm="1">
        <f t="array" ref="AA100">10^3*(_xlfn.XLOOKUP(AA$8,'Master Data'!$C$2:$W$2,_xlfn.XLOOKUP($A100,'Master Data'!$B$3:$B$122,'Master Data'!$C$3:$W$122))-$B100)</f>
        <v>#N/A</v>
      </c>
    </row>
    <row r="101" spans="1:27" s="172" customFormat="1" x14ac:dyDescent="0.25">
      <c r="A101" s="173" t="s">
        <v>132</v>
      </c>
      <c r="B101" s="174">
        <v>70</v>
      </c>
      <c r="C101" s="172" t="b">
        <f>ISNUMBER(_xlfn.XMATCH(A101,'Master Data'!$B$3:$B$122))</f>
        <v>1</v>
      </c>
      <c r="E101" s="175" cm="1">
        <f t="array" ref="E101">10^3*(_xlfn.XLOOKUP(E$8,'Master Data'!$C$2:$W$2,_xlfn.XLOOKUP($A101,'Master Data'!$B$3:$B$122,'Master Data'!$C$3:$W$122))-$B101)</f>
        <v>10000</v>
      </c>
      <c r="F101" s="176" cm="1">
        <f t="array" ref="F101">10^3*(_xlfn.XLOOKUP(F$8,'Master Data'!$C$2:$W$2,_xlfn.XLOOKUP($A101,'Master Data'!$B$3:$B$122,'Master Data'!$C$3:$W$122))-$B101)</f>
        <v>10000</v>
      </c>
      <c r="G101" s="176" cm="1">
        <f t="array" ref="G101">10^3*(_xlfn.XLOOKUP(G$8,'Master Data'!$C$2:$W$2,_xlfn.XLOOKUP($A101,'Master Data'!$B$3:$B$122,'Master Data'!$C$3:$W$122))-$B101)</f>
        <v>10000</v>
      </c>
      <c r="H101" s="176" cm="1">
        <f t="array" ref="H101">10^3*(_xlfn.XLOOKUP(H$8,'Master Data'!$C$2:$W$2,_xlfn.XLOOKUP($A101,'Master Data'!$B$3:$B$122,'Master Data'!$C$3:$W$122))-$B101)</f>
        <v>10000</v>
      </c>
      <c r="I101" s="176" cm="1">
        <f t="array" ref="I101">10^3*(_xlfn.XLOOKUP(I$8,'Master Data'!$C$2:$W$2,_xlfn.XLOOKUP($A101,'Master Data'!$B$3:$B$122,'Master Data'!$C$3:$W$122))-$B101)</f>
        <v>10000</v>
      </c>
      <c r="J101" s="176" cm="1">
        <f t="array" ref="J101">10^3*(_xlfn.XLOOKUP(J$8,'Master Data'!$C$2:$W$2,_xlfn.XLOOKUP($A101,'Master Data'!$B$3:$B$122,'Master Data'!$C$3:$W$122))-$B101)</f>
        <v>10000</v>
      </c>
      <c r="K101" s="176" cm="1">
        <f t="array" ref="K101">10^3*(_xlfn.XLOOKUP(K$8,'Master Data'!$C$2:$W$2,_xlfn.XLOOKUP($A101,'Master Data'!$B$3:$B$122,'Master Data'!$C$3:$W$122))-$B101)</f>
        <v>10000</v>
      </c>
      <c r="L101" s="176" cm="1">
        <f t="array" ref="L101">10^3*(_xlfn.XLOOKUP(L$8,'Master Data'!$C$2:$W$2,_xlfn.XLOOKUP($A101,'Master Data'!$B$3:$B$122,'Master Data'!$C$3:$W$122))-$B101)</f>
        <v>10000</v>
      </c>
      <c r="M101" s="176" cm="1">
        <f t="array" ref="M101">10^3*(_xlfn.XLOOKUP(M$8,'Master Data'!$C$2:$W$2,_xlfn.XLOOKUP($A101,'Master Data'!$B$3:$B$122,'Master Data'!$C$3:$W$122))-$B101)</f>
        <v>10000</v>
      </c>
      <c r="N101" s="176" cm="1">
        <f t="array" ref="N101">10^3*(_xlfn.XLOOKUP(N$8,'Master Data'!$C$2:$W$2,_xlfn.XLOOKUP($A101,'Master Data'!$B$3:$B$122,'Master Data'!$C$3:$W$122))-$B101)</f>
        <v>10000</v>
      </c>
      <c r="O101" s="176" cm="1">
        <f t="array" ref="O101">10^3*(_xlfn.XLOOKUP(O$8,'Master Data'!$C$2:$W$2,_xlfn.XLOOKUP($A101,'Master Data'!$B$3:$B$122,'Master Data'!$C$3:$W$122))-$B101)</f>
        <v>10000</v>
      </c>
      <c r="P101" s="176" cm="1">
        <f t="array" ref="P101">10^3*(_xlfn.XLOOKUP(P$8,'Master Data'!$C$2:$W$2,_xlfn.XLOOKUP($A101,'Master Data'!$B$3:$B$122,'Master Data'!$C$3:$W$122))-$B101)</f>
        <v>10000</v>
      </c>
      <c r="Q101" s="176" cm="1">
        <f t="array" ref="Q101">10^3*(_xlfn.XLOOKUP(Q$8,'Master Data'!$C$2:$W$2,_xlfn.XLOOKUP($A101,'Master Data'!$B$3:$B$122,'Master Data'!$C$3:$W$122))-$B101)</f>
        <v>10000</v>
      </c>
      <c r="R101" s="176" cm="1">
        <f t="array" ref="R101">10^3*(_xlfn.XLOOKUP(R$8,'Master Data'!$C$2:$W$2,_xlfn.XLOOKUP($A101,'Master Data'!$B$3:$B$122,'Master Data'!$C$3:$W$122))-$B101)</f>
        <v>10000</v>
      </c>
      <c r="S101" s="176" cm="1">
        <f t="array" ref="S101">10^3*(_xlfn.XLOOKUP(S$8,'Master Data'!$C$2:$W$2,_xlfn.XLOOKUP($A101,'Master Data'!$B$3:$B$122,'Master Data'!$C$3:$W$122))-$B101)</f>
        <v>10000</v>
      </c>
      <c r="T101" s="176" cm="1">
        <f t="array" ref="T101">10^3*(_xlfn.XLOOKUP(T$8,'Master Data'!$C$2:$W$2,_xlfn.XLOOKUP($A101,'Master Data'!$B$3:$B$122,'Master Data'!$C$3:$W$122))-$B101)</f>
        <v>10000</v>
      </c>
      <c r="U101" s="176" cm="1">
        <f t="array" ref="U101">10^3*(_xlfn.XLOOKUP(U$8,'Master Data'!$C$2:$W$2,_xlfn.XLOOKUP($A101,'Master Data'!$B$3:$B$122,'Master Data'!$C$3:$W$122))-$B101)</f>
        <v>10000</v>
      </c>
      <c r="V101" s="176" cm="1">
        <f t="array" ref="V101">10^3*(_xlfn.XLOOKUP(V$8,'Master Data'!$C$2:$W$2,_xlfn.XLOOKUP($A101,'Master Data'!$B$3:$B$122,'Master Data'!$C$3:$W$122))-$B101)</f>
        <v>10000</v>
      </c>
      <c r="W101" s="176" cm="1">
        <f t="array" ref="W101">10^3*(_xlfn.XLOOKUP(W$8,'Master Data'!$C$2:$W$2,_xlfn.XLOOKUP($A101,'Master Data'!$B$3:$B$122,'Master Data'!$C$3:$W$122))-$B101)</f>
        <v>10000</v>
      </c>
      <c r="X101" s="176" cm="1">
        <f t="array" ref="X101">10^3*(_xlfn.XLOOKUP(X$8,'Master Data'!$C$2:$W$2,_xlfn.XLOOKUP($A101,'Master Data'!$B$3:$B$122,'Master Data'!$C$3:$W$122))-$B101)</f>
        <v>10000</v>
      </c>
      <c r="Y101" s="177" cm="1">
        <f t="array" ref="Y101">10^3*(_xlfn.XLOOKUP(Y$8,'Master Data'!$C$2:$W$2,_xlfn.XLOOKUP($A101,'Master Data'!$B$3:$B$122,'Master Data'!$C$3:$W$122))-$B101)</f>
        <v>10000</v>
      </c>
      <c r="Z101" s="177" t="e" cm="1">
        <f t="array" ref="Z101">10^3*(_xlfn.XLOOKUP(Z$8,'Master Data'!$C$2:$W$2,_xlfn.XLOOKUP($A101,'Master Data'!$B$3:$B$122,'Master Data'!$C$3:$W$122))-$B101)</f>
        <v>#N/A</v>
      </c>
      <c r="AA101" s="177" t="e" cm="1">
        <f t="array" ref="AA101">10^3*(_xlfn.XLOOKUP(AA$8,'Master Data'!$C$2:$W$2,_xlfn.XLOOKUP($A101,'Master Data'!$B$3:$B$122,'Master Data'!$C$3:$W$122))-$B101)</f>
        <v>#N/A</v>
      </c>
    </row>
    <row r="102" spans="1:27" s="172" customFormat="1" x14ac:dyDescent="0.25">
      <c r="A102" s="173" t="s">
        <v>133</v>
      </c>
      <c r="B102" s="174">
        <v>70</v>
      </c>
      <c r="C102" s="172" t="b">
        <f>ISNUMBER(_xlfn.XMATCH(A102,'Master Data'!$B$3:$B$122))</f>
        <v>1</v>
      </c>
      <c r="E102" s="175" cm="1">
        <f t="array" ref="E102">10^3*(_xlfn.XLOOKUP(E$8,'Master Data'!$C$2:$W$2,_xlfn.XLOOKUP($A102,'Master Data'!$B$3:$B$122,'Master Data'!$C$3:$W$122))-$B102)</f>
        <v>10000</v>
      </c>
      <c r="F102" s="176" cm="1">
        <f t="array" ref="F102">10^3*(_xlfn.XLOOKUP(F$8,'Master Data'!$C$2:$W$2,_xlfn.XLOOKUP($A102,'Master Data'!$B$3:$B$122,'Master Data'!$C$3:$W$122))-$B102)</f>
        <v>10000</v>
      </c>
      <c r="G102" s="176" cm="1">
        <f t="array" ref="G102">10^3*(_xlfn.XLOOKUP(G$8,'Master Data'!$C$2:$W$2,_xlfn.XLOOKUP($A102,'Master Data'!$B$3:$B$122,'Master Data'!$C$3:$W$122))-$B102)</f>
        <v>10000</v>
      </c>
      <c r="H102" s="176" cm="1">
        <f t="array" ref="H102">10^3*(_xlfn.XLOOKUP(H$8,'Master Data'!$C$2:$W$2,_xlfn.XLOOKUP($A102,'Master Data'!$B$3:$B$122,'Master Data'!$C$3:$W$122))-$B102)</f>
        <v>10000</v>
      </c>
      <c r="I102" s="176" cm="1">
        <f t="array" ref="I102">10^3*(_xlfn.XLOOKUP(I$8,'Master Data'!$C$2:$W$2,_xlfn.XLOOKUP($A102,'Master Data'!$B$3:$B$122,'Master Data'!$C$3:$W$122))-$B102)</f>
        <v>10000</v>
      </c>
      <c r="J102" s="176" cm="1">
        <f t="array" ref="J102">10^3*(_xlfn.XLOOKUP(J$8,'Master Data'!$C$2:$W$2,_xlfn.XLOOKUP($A102,'Master Data'!$B$3:$B$122,'Master Data'!$C$3:$W$122))-$B102)</f>
        <v>10000</v>
      </c>
      <c r="K102" s="176" cm="1">
        <f t="array" ref="K102">10^3*(_xlfn.XLOOKUP(K$8,'Master Data'!$C$2:$W$2,_xlfn.XLOOKUP($A102,'Master Data'!$B$3:$B$122,'Master Data'!$C$3:$W$122))-$B102)</f>
        <v>10000</v>
      </c>
      <c r="L102" s="176" cm="1">
        <f t="array" ref="L102">10^3*(_xlfn.XLOOKUP(L$8,'Master Data'!$C$2:$W$2,_xlfn.XLOOKUP($A102,'Master Data'!$B$3:$B$122,'Master Data'!$C$3:$W$122))-$B102)</f>
        <v>10000</v>
      </c>
      <c r="M102" s="176" cm="1">
        <f t="array" ref="M102">10^3*(_xlfn.XLOOKUP(M$8,'Master Data'!$C$2:$W$2,_xlfn.XLOOKUP($A102,'Master Data'!$B$3:$B$122,'Master Data'!$C$3:$W$122))-$B102)</f>
        <v>10000</v>
      </c>
      <c r="N102" s="176" cm="1">
        <f t="array" ref="N102">10^3*(_xlfn.XLOOKUP(N$8,'Master Data'!$C$2:$W$2,_xlfn.XLOOKUP($A102,'Master Data'!$B$3:$B$122,'Master Data'!$C$3:$W$122))-$B102)</f>
        <v>10000</v>
      </c>
      <c r="O102" s="176" cm="1">
        <f t="array" ref="O102">10^3*(_xlfn.XLOOKUP(O$8,'Master Data'!$C$2:$W$2,_xlfn.XLOOKUP($A102,'Master Data'!$B$3:$B$122,'Master Data'!$C$3:$W$122))-$B102)</f>
        <v>10000</v>
      </c>
      <c r="P102" s="176" cm="1">
        <f t="array" ref="P102">10^3*(_xlfn.XLOOKUP(P$8,'Master Data'!$C$2:$W$2,_xlfn.XLOOKUP($A102,'Master Data'!$B$3:$B$122,'Master Data'!$C$3:$W$122))-$B102)</f>
        <v>10000</v>
      </c>
      <c r="Q102" s="176" cm="1">
        <f t="array" ref="Q102">10^3*(_xlfn.XLOOKUP(Q$8,'Master Data'!$C$2:$W$2,_xlfn.XLOOKUP($A102,'Master Data'!$B$3:$B$122,'Master Data'!$C$3:$W$122))-$B102)</f>
        <v>10000</v>
      </c>
      <c r="R102" s="176" cm="1">
        <f t="array" ref="R102">10^3*(_xlfn.XLOOKUP(R$8,'Master Data'!$C$2:$W$2,_xlfn.XLOOKUP($A102,'Master Data'!$B$3:$B$122,'Master Data'!$C$3:$W$122))-$B102)</f>
        <v>10000</v>
      </c>
      <c r="S102" s="176" cm="1">
        <f t="array" ref="S102">10^3*(_xlfn.XLOOKUP(S$8,'Master Data'!$C$2:$W$2,_xlfn.XLOOKUP($A102,'Master Data'!$B$3:$B$122,'Master Data'!$C$3:$W$122))-$B102)</f>
        <v>10000</v>
      </c>
      <c r="T102" s="176" cm="1">
        <f t="array" ref="T102">10^3*(_xlfn.XLOOKUP(T$8,'Master Data'!$C$2:$W$2,_xlfn.XLOOKUP($A102,'Master Data'!$B$3:$B$122,'Master Data'!$C$3:$W$122))-$B102)</f>
        <v>10000</v>
      </c>
      <c r="U102" s="176" cm="1">
        <f t="array" ref="U102">10^3*(_xlfn.XLOOKUP(U$8,'Master Data'!$C$2:$W$2,_xlfn.XLOOKUP($A102,'Master Data'!$B$3:$B$122,'Master Data'!$C$3:$W$122))-$B102)</f>
        <v>10000</v>
      </c>
      <c r="V102" s="176" cm="1">
        <f t="array" ref="V102">10^3*(_xlfn.XLOOKUP(V$8,'Master Data'!$C$2:$W$2,_xlfn.XLOOKUP($A102,'Master Data'!$B$3:$B$122,'Master Data'!$C$3:$W$122))-$B102)</f>
        <v>10000</v>
      </c>
      <c r="W102" s="176" cm="1">
        <f t="array" ref="W102">10^3*(_xlfn.XLOOKUP(W$8,'Master Data'!$C$2:$W$2,_xlfn.XLOOKUP($A102,'Master Data'!$B$3:$B$122,'Master Data'!$C$3:$W$122))-$B102)</f>
        <v>10000</v>
      </c>
      <c r="X102" s="176" cm="1">
        <f t="array" ref="X102">10^3*(_xlfn.XLOOKUP(X$8,'Master Data'!$C$2:$W$2,_xlfn.XLOOKUP($A102,'Master Data'!$B$3:$B$122,'Master Data'!$C$3:$W$122))-$B102)</f>
        <v>10000</v>
      </c>
      <c r="Y102" s="177" cm="1">
        <f t="array" ref="Y102">10^3*(_xlfn.XLOOKUP(Y$8,'Master Data'!$C$2:$W$2,_xlfn.XLOOKUP($A102,'Master Data'!$B$3:$B$122,'Master Data'!$C$3:$W$122))-$B102)</f>
        <v>10000</v>
      </c>
      <c r="Z102" s="177" t="e" cm="1">
        <f t="array" ref="Z102">10^3*(_xlfn.XLOOKUP(Z$8,'Master Data'!$C$2:$W$2,_xlfn.XLOOKUP($A102,'Master Data'!$B$3:$B$122,'Master Data'!$C$3:$W$122))-$B102)</f>
        <v>#N/A</v>
      </c>
      <c r="AA102" s="177" t="e" cm="1">
        <f t="array" ref="AA102">10^3*(_xlfn.XLOOKUP(AA$8,'Master Data'!$C$2:$W$2,_xlfn.XLOOKUP($A102,'Master Data'!$B$3:$B$122,'Master Data'!$C$3:$W$122))-$B102)</f>
        <v>#N/A</v>
      </c>
    </row>
    <row r="103" spans="1:27" s="172" customFormat="1" x14ac:dyDescent="0.25">
      <c r="A103" s="173" t="s">
        <v>134</v>
      </c>
      <c r="B103" s="174">
        <v>70</v>
      </c>
      <c r="C103" s="172" t="b">
        <f>ISNUMBER(_xlfn.XMATCH(A103,'Master Data'!$B$3:$B$122))</f>
        <v>1</v>
      </c>
      <c r="E103" s="175" cm="1">
        <f t="array" ref="E103">10^3*(_xlfn.XLOOKUP(E$8,'Master Data'!$C$2:$W$2,_xlfn.XLOOKUP($A103,'Master Data'!$B$3:$B$122,'Master Data'!$C$3:$W$122))-$B103)</f>
        <v>10000</v>
      </c>
      <c r="F103" s="176" cm="1">
        <f t="array" ref="F103">10^3*(_xlfn.XLOOKUP(F$8,'Master Data'!$C$2:$W$2,_xlfn.XLOOKUP($A103,'Master Data'!$B$3:$B$122,'Master Data'!$C$3:$W$122))-$B103)</f>
        <v>10000</v>
      </c>
      <c r="G103" s="176" cm="1">
        <f t="array" ref="G103">10^3*(_xlfn.XLOOKUP(G$8,'Master Data'!$C$2:$W$2,_xlfn.XLOOKUP($A103,'Master Data'!$B$3:$B$122,'Master Data'!$C$3:$W$122))-$B103)</f>
        <v>10000</v>
      </c>
      <c r="H103" s="176" cm="1">
        <f t="array" ref="H103">10^3*(_xlfn.XLOOKUP(H$8,'Master Data'!$C$2:$W$2,_xlfn.XLOOKUP($A103,'Master Data'!$B$3:$B$122,'Master Data'!$C$3:$W$122))-$B103)</f>
        <v>10000</v>
      </c>
      <c r="I103" s="176" cm="1">
        <f t="array" ref="I103">10^3*(_xlfn.XLOOKUP(I$8,'Master Data'!$C$2:$W$2,_xlfn.XLOOKUP($A103,'Master Data'!$B$3:$B$122,'Master Data'!$C$3:$W$122))-$B103)</f>
        <v>10000</v>
      </c>
      <c r="J103" s="176" cm="1">
        <f t="array" ref="J103">10^3*(_xlfn.XLOOKUP(J$8,'Master Data'!$C$2:$W$2,_xlfn.XLOOKUP($A103,'Master Data'!$B$3:$B$122,'Master Data'!$C$3:$W$122))-$B103)</f>
        <v>10000</v>
      </c>
      <c r="K103" s="176" cm="1">
        <f t="array" ref="K103">10^3*(_xlfn.XLOOKUP(K$8,'Master Data'!$C$2:$W$2,_xlfn.XLOOKUP($A103,'Master Data'!$B$3:$B$122,'Master Data'!$C$3:$W$122))-$B103)</f>
        <v>10000</v>
      </c>
      <c r="L103" s="176" cm="1">
        <f t="array" ref="L103">10^3*(_xlfn.XLOOKUP(L$8,'Master Data'!$C$2:$W$2,_xlfn.XLOOKUP($A103,'Master Data'!$B$3:$B$122,'Master Data'!$C$3:$W$122))-$B103)</f>
        <v>10000</v>
      </c>
      <c r="M103" s="176" cm="1">
        <f t="array" ref="M103">10^3*(_xlfn.XLOOKUP(M$8,'Master Data'!$C$2:$W$2,_xlfn.XLOOKUP($A103,'Master Data'!$B$3:$B$122,'Master Data'!$C$3:$W$122))-$B103)</f>
        <v>10000</v>
      </c>
      <c r="N103" s="176" cm="1">
        <f t="array" ref="N103">10^3*(_xlfn.XLOOKUP(N$8,'Master Data'!$C$2:$W$2,_xlfn.XLOOKUP($A103,'Master Data'!$B$3:$B$122,'Master Data'!$C$3:$W$122))-$B103)</f>
        <v>10000</v>
      </c>
      <c r="O103" s="176" cm="1">
        <f t="array" ref="O103">10^3*(_xlfn.XLOOKUP(O$8,'Master Data'!$C$2:$W$2,_xlfn.XLOOKUP($A103,'Master Data'!$B$3:$B$122,'Master Data'!$C$3:$W$122))-$B103)</f>
        <v>10000</v>
      </c>
      <c r="P103" s="176" cm="1">
        <f t="array" ref="P103">10^3*(_xlfn.XLOOKUP(P$8,'Master Data'!$C$2:$W$2,_xlfn.XLOOKUP($A103,'Master Data'!$B$3:$B$122,'Master Data'!$C$3:$W$122))-$B103)</f>
        <v>10000</v>
      </c>
      <c r="Q103" s="176" cm="1">
        <f t="array" ref="Q103">10^3*(_xlfn.XLOOKUP(Q$8,'Master Data'!$C$2:$W$2,_xlfn.XLOOKUP($A103,'Master Data'!$B$3:$B$122,'Master Data'!$C$3:$W$122))-$B103)</f>
        <v>10000</v>
      </c>
      <c r="R103" s="176" cm="1">
        <f t="array" ref="R103">10^3*(_xlfn.XLOOKUP(R$8,'Master Data'!$C$2:$W$2,_xlfn.XLOOKUP($A103,'Master Data'!$B$3:$B$122,'Master Data'!$C$3:$W$122))-$B103)</f>
        <v>10000</v>
      </c>
      <c r="S103" s="176" cm="1">
        <f t="array" ref="S103">10^3*(_xlfn.XLOOKUP(S$8,'Master Data'!$C$2:$W$2,_xlfn.XLOOKUP($A103,'Master Data'!$B$3:$B$122,'Master Data'!$C$3:$W$122))-$B103)</f>
        <v>10000</v>
      </c>
      <c r="T103" s="176" cm="1">
        <f t="array" ref="T103">10^3*(_xlfn.XLOOKUP(T$8,'Master Data'!$C$2:$W$2,_xlfn.XLOOKUP($A103,'Master Data'!$B$3:$B$122,'Master Data'!$C$3:$W$122))-$B103)</f>
        <v>10000</v>
      </c>
      <c r="U103" s="176" cm="1">
        <f t="array" ref="U103">10^3*(_xlfn.XLOOKUP(U$8,'Master Data'!$C$2:$W$2,_xlfn.XLOOKUP($A103,'Master Data'!$B$3:$B$122,'Master Data'!$C$3:$W$122))-$B103)</f>
        <v>10000</v>
      </c>
      <c r="V103" s="176" cm="1">
        <f t="array" ref="V103">10^3*(_xlfn.XLOOKUP(V$8,'Master Data'!$C$2:$W$2,_xlfn.XLOOKUP($A103,'Master Data'!$B$3:$B$122,'Master Data'!$C$3:$W$122))-$B103)</f>
        <v>10000</v>
      </c>
      <c r="W103" s="176" cm="1">
        <f t="array" ref="W103">10^3*(_xlfn.XLOOKUP(W$8,'Master Data'!$C$2:$W$2,_xlfn.XLOOKUP($A103,'Master Data'!$B$3:$B$122,'Master Data'!$C$3:$W$122))-$B103)</f>
        <v>10000</v>
      </c>
      <c r="X103" s="176" cm="1">
        <f t="array" ref="X103">10^3*(_xlfn.XLOOKUP(X$8,'Master Data'!$C$2:$W$2,_xlfn.XLOOKUP($A103,'Master Data'!$B$3:$B$122,'Master Data'!$C$3:$W$122))-$B103)</f>
        <v>10000</v>
      </c>
      <c r="Y103" s="177" cm="1">
        <f t="array" ref="Y103">10^3*(_xlfn.XLOOKUP(Y$8,'Master Data'!$C$2:$W$2,_xlfn.XLOOKUP($A103,'Master Data'!$B$3:$B$122,'Master Data'!$C$3:$W$122))-$B103)</f>
        <v>10000</v>
      </c>
      <c r="Z103" s="177" t="e" cm="1">
        <f t="array" ref="Z103">10^3*(_xlfn.XLOOKUP(Z$8,'Master Data'!$C$2:$W$2,_xlfn.XLOOKUP($A103,'Master Data'!$B$3:$B$122,'Master Data'!$C$3:$W$122))-$B103)</f>
        <v>#N/A</v>
      </c>
      <c r="AA103" s="177" t="e" cm="1">
        <f t="array" ref="AA103">10^3*(_xlfn.XLOOKUP(AA$8,'Master Data'!$C$2:$W$2,_xlfn.XLOOKUP($A103,'Master Data'!$B$3:$B$122,'Master Data'!$C$3:$W$122))-$B103)</f>
        <v>#N/A</v>
      </c>
    </row>
    <row r="104" spans="1:27" s="172" customFormat="1" x14ac:dyDescent="0.25">
      <c r="A104" s="173" t="s">
        <v>135</v>
      </c>
      <c r="B104" s="174">
        <v>77</v>
      </c>
      <c r="C104" s="172" t="b">
        <f>ISNUMBER(_xlfn.XMATCH(A104,'Master Data'!$B$3:$B$122))</f>
        <v>1</v>
      </c>
      <c r="E104" s="175" cm="1">
        <f t="array" ref="E104">10^3*(_xlfn.XLOOKUP(E$8,'Master Data'!$C$2:$W$2,_xlfn.XLOOKUP($A104,'Master Data'!$B$3:$B$122,'Master Data'!$C$3:$W$122))-$B104)</f>
        <v>3000</v>
      </c>
      <c r="F104" s="176" cm="1">
        <f t="array" ref="F104">10^3*(_xlfn.XLOOKUP(F$8,'Master Data'!$C$2:$W$2,_xlfn.XLOOKUP($A104,'Master Data'!$B$3:$B$122,'Master Data'!$C$3:$W$122))-$B104)</f>
        <v>3000</v>
      </c>
      <c r="G104" s="176" cm="1">
        <f t="array" ref="G104">10^3*(_xlfn.XLOOKUP(G$8,'Master Data'!$C$2:$W$2,_xlfn.XLOOKUP($A104,'Master Data'!$B$3:$B$122,'Master Data'!$C$3:$W$122))-$B104)</f>
        <v>3000</v>
      </c>
      <c r="H104" s="176" cm="1">
        <f t="array" ref="H104">10^3*(_xlfn.XLOOKUP(H$8,'Master Data'!$C$2:$W$2,_xlfn.XLOOKUP($A104,'Master Data'!$B$3:$B$122,'Master Data'!$C$3:$W$122))-$B104)</f>
        <v>3000</v>
      </c>
      <c r="I104" s="176" cm="1">
        <f t="array" ref="I104">10^3*(_xlfn.XLOOKUP(I$8,'Master Data'!$C$2:$W$2,_xlfn.XLOOKUP($A104,'Master Data'!$B$3:$B$122,'Master Data'!$C$3:$W$122))-$B104)</f>
        <v>3000</v>
      </c>
      <c r="J104" s="176" cm="1">
        <f t="array" ref="J104">10^3*(_xlfn.XLOOKUP(J$8,'Master Data'!$C$2:$W$2,_xlfn.XLOOKUP($A104,'Master Data'!$B$3:$B$122,'Master Data'!$C$3:$W$122))-$B104)</f>
        <v>3000</v>
      </c>
      <c r="K104" s="176" cm="1">
        <f t="array" ref="K104">10^3*(_xlfn.XLOOKUP(K$8,'Master Data'!$C$2:$W$2,_xlfn.XLOOKUP($A104,'Master Data'!$B$3:$B$122,'Master Data'!$C$3:$W$122))-$B104)</f>
        <v>3000</v>
      </c>
      <c r="L104" s="176" cm="1">
        <f t="array" ref="L104">10^3*(_xlfn.XLOOKUP(L$8,'Master Data'!$C$2:$W$2,_xlfn.XLOOKUP($A104,'Master Data'!$B$3:$B$122,'Master Data'!$C$3:$W$122))-$B104)</f>
        <v>3000</v>
      </c>
      <c r="M104" s="176" cm="1">
        <f t="array" ref="M104">10^3*(_xlfn.XLOOKUP(M$8,'Master Data'!$C$2:$W$2,_xlfn.XLOOKUP($A104,'Master Data'!$B$3:$B$122,'Master Data'!$C$3:$W$122))-$B104)</f>
        <v>3000</v>
      </c>
      <c r="N104" s="176" cm="1">
        <f t="array" ref="N104">10^3*(_xlfn.XLOOKUP(N$8,'Master Data'!$C$2:$W$2,_xlfn.XLOOKUP($A104,'Master Data'!$B$3:$B$122,'Master Data'!$C$3:$W$122))-$B104)</f>
        <v>3000</v>
      </c>
      <c r="O104" s="176" cm="1">
        <f t="array" ref="O104">10^3*(_xlfn.XLOOKUP(O$8,'Master Data'!$C$2:$W$2,_xlfn.XLOOKUP($A104,'Master Data'!$B$3:$B$122,'Master Data'!$C$3:$W$122))-$B104)</f>
        <v>3000</v>
      </c>
      <c r="P104" s="176" cm="1">
        <f t="array" ref="P104">10^3*(_xlfn.XLOOKUP(P$8,'Master Data'!$C$2:$W$2,_xlfn.XLOOKUP($A104,'Master Data'!$B$3:$B$122,'Master Data'!$C$3:$W$122))-$B104)</f>
        <v>3000</v>
      </c>
      <c r="Q104" s="176" cm="1">
        <f t="array" ref="Q104">10^3*(_xlfn.XLOOKUP(Q$8,'Master Data'!$C$2:$W$2,_xlfn.XLOOKUP($A104,'Master Data'!$B$3:$B$122,'Master Data'!$C$3:$W$122))-$B104)</f>
        <v>3000</v>
      </c>
      <c r="R104" s="176" cm="1">
        <f t="array" ref="R104">10^3*(_xlfn.XLOOKUP(R$8,'Master Data'!$C$2:$W$2,_xlfn.XLOOKUP($A104,'Master Data'!$B$3:$B$122,'Master Data'!$C$3:$W$122))-$B104)</f>
        <v>3000</v>
      </c>
      <c r="S104" s="176" cm="1">
        <f t="array" ref="S104">10^3*(_xlfn.XLOOKUP(S$8,'Master Data'!$C$2:$W$2,_xlfn.XLOOKUP($A104,'Master Data'!$B$3:$B$122,'Master Data'!$C$3:$W$122))-$B104)</f>
        <v>3000</v>
      </c>
      <c r="T104" s="176" cm="1">
        <f t="array" ref="T104">10^3*(_xlfn.XLOOKUP(T$8,'Master Data'!$C$2:$W$2,_xlfn.XLOOKUP($A104,'Master Data'!$B$3:$B$122,'Master Data'!$C$3:$W$122))-$B104)</f>
        <v>3000</v>
      </c>
      <c r="U104" s="176" cm="1">
        <f t="array" ref="U104">10^3*(_xlfn.XLOOKUP(U$8,'Master Data'!$C$2:$W$2,_xlfn.XLOOKUP($A104,'Master Data'!$B$3:$B$122,'Master Data'!$C$3:$W$122))-$B104)</f>
        <v>3000</v>
      </c>
      <c r="V104" s="176" cm="1">
        <f t="array" ref="V104">10^3*(_xlfn.XLOOKUP(V$8,'Master Data'!$C$2:$W$2,_xlfn.XLOOKUP($A104,'Master Data'!$B$3:$B$122,'Master Data'!$C$3:$W$122))-$B104)</f>
        <v>3000</v>
      </c>
      <c r="W104" s="176" cm="1">
        <f t="array" ref="W104">10^3*(_xlfn.XLOOKUP(W$8,'Master Data'!$C$2:$W$2,_xlfn.XLOOKUP($A104,'Master Data'!$B$3:$B$122,'Master Data'!$C$3:$W$122))-$B104)</f>
        <v>3000</v>
      </c>
      <c r="X104" s="176" cm="1">
        <f t="array" ref="X104">10^3*(_xlfn.XLOOKUP(X$8,'Master Data'!$C$2:$W$2,_xlfn.XLOOKUP($A104,'Master Data'!$B$3:$B$122,'Master Data'!$C$3:$W$122))-$B104)</f>
        <v>3000</v>
      </c>
      <c r="Y104" s="177" cm="1">
        <f t="array" ref="Y104">10^3*(_xlfn.XLOOKUP(Y$8,'Master Data'!$C$2:$W$2,_xlfn.XLOOKUP($A104,'Master Data'!$B$3:$B$122,'Master Data'!$C$3:$W$122))-$B104)</f>
        <v>3000</v>
      </c>
      <c r="Z104" s="177" t="e" cm="1">
        <f t="array" ref="Z104">10^3*(_xlfn.XLOOKUP(Z$8,'Master Data'!$C$2:$W$2,_xlfn.XLOOKUP($A104,'Master Data'!$B$3:$B$122,'Master Data'!$C$3:$W$122))-$B104)</f>
        <v>#N/A</v>
      </c>
      <c r="AA104" s="177" t="e" cm="1">
        <f t="array" ref="AA104">10^3*(_xlfn.XLOOKUP(AA$8,'Master Data'!$C$2:$W$2,_xlfn.XLOOKUP($A104,'Master Data'!$B$3:$B$122,'Master Data'!$C$3:$W$122))-$B104)</f>
        <v>#N/A</v>
      </c>
    </row>
    <row r="105" spans="1:27" s="172" customFormat="1" x14ac:dyDescent="0.25">
      <c r="A105" s="173" t="s">
        <v>136</v>
      </c>
      <c r="B105" s="174">
        <v>68</v>
      </c>
      <c r="C105" s="172" t="b">
        <f>ISNUMBER(_xlfn.XMATCH(A105,'Master Data'!$B$3:$B$122))</f>
        <v>1</v>
      </c>
      <c r="E105" s="175" cm="1">
        <f t="array" ref="E105">10^3*(_xlfn.XLOOKUP(E$8,'Master Data'!$C$2:$W$2,_xlfn.XLOOKUP($A105,'Master Data'!$B$3:$B$122,'Master Data'!$C$3:$W$122))-$B105)</f>
        <v>17000</v>
      </c>
      <c r="F105" s="176" cm="1">
        <f t="array" ref="F105">10^3*(_xlfn.XLOOKUP(F$8,'Master Data'!$C$2:$W$2,_xlfn.XLOOKUP($A105,'Master Data'!$B$3:$B$122,'Master Data'!$C$3:$W$122))-$B105)</f>
        <v>17000</v>
      </c>
      <c r="G105" s="176" cm="1">
        <f t="array" ref="G105">10^3*(_xlfn.XLOOKUP(G$8,'Master Data'!$C$2:$W$2,_xlfn.XLOOKUP($A105,'Master Data'!$B$3:$B$122,'Master Data'!$C$3:$W$122))-$B105)</f>
        <v>15000</v>
      </c>
      <c r="H105" s="176" cm="1">
        <f t="array" ref="H105">10^3*(_xlfn.XLOOKUP(H$8,'Master Data'!$C$2:$W$2,_xlfn.XLOOKUP($A105,'Master Data'!$B$3:$B$122,'Master Data'!$C$3:$W$122))-$B105)</f>
        <v>15000</v>
      </c>
      <c r="I105" s="176" cm="1">
        <f t="array" ref="I105">10^3*(_xlfn.XLOOKUP(I$8,'Master Data'!$C$2:$W$2,_xlfn.XLOOKUP($A105,'Master Data'!$B$3:$B$122,'Master Data'!$C$3:$W$122))-$B105)</f>
        <v>15000</v>
      </c>
      <c r="J105" s="176" cm="1">
        <f t="array" ref="J105">10^3*(_xlfn.XLOOKUP(J$8,'Master Data'!$C$2:$W$2,_xlfn.XLOOKUP($A105,'Master Data'!$B$3:$B$122,'Master Data'!$C$3:$W$122))-$B105)</f>
        <v>15000</v>
      </c>
      <c r="K105" s="176" cm="1">
        <f t="array" ref="K105">10^3*(_xlfn.XLOOKUP(K$8,'Master Data'!$C$2:$W$2,_xlfn.XLOOKUP($A105,'Master Data'!$B$3:$B$122,'Master Data'!$C$3:$W$122))-$B105)</f>
        <v>15000</v>
      </c>
      <c r="L105" s="176" cm="1">
        <f t="array" ref="L105">10^3*(_xlfn.XLOOKUP(L$8,'Master Data'!$C$2:$W$2,_xlfn.XLOOKUP($A105,'Master Data'!$B$3:$B$122,'Master Data'!$C$3:$W$122))-$B105)</f>
        <v>15000</v>
      </c>
      <c r="M105" s="176" cm="1">
        <f t="array" ref="M105">10^3*(_xlfn.XLOOKUP(M$8,'Master Data'!$C$2:$W$2,_xlfn.XLOOKUP($A105,'Master Data'!$B$3:$B$122,'Master Data'!$C$3:$W$122))-$B105)</f>
        <v>15000</v>
      </c>
      <c r="N105" s="176" cm="1">
        <f t="array" ref="N105">10^3*(_xlfn.XLOOKUP(N$8,'Master Data'!$C$2:$W$2,_xlfn.XLOOKUP($A105,'Master Data'!$B$3:$B$122,'Master Data'!$C$3:$W$122))-$B105)</f>
        <v>15000</v>
      </c>
      <c r="O105" s="176" cm="1">
        <f t="array" ref="O105">10^3*(_xlfn.XLOOKUP(O$8,'Master Data'!$C$2:$W$2,_xlfn.XLOOKUP($A105,'Master Data'!$B$3:$B$122,'Master Data'!$C$3:$W$122))-$B105)</f>
        <v>15000</v>
      </c>
      <c r="P105" s="176" cm="1">
        <f t="array" ref="P105">10^3*(_xlfn.XLOOKUP(P$8,'Master Data'!$C$2:$W$2,_xlfn.XLOOKUP($A105,'Master Data'!$B$3:$B$122,'Master Data'!$C$3:$W$122))-$B105)</f>
        <v>17000</v>
      </c>
      <c r="Q105" s="176" cm="1">
        <f t="array" ref="Q105">10^3*(_xlfn.XLOOKUP(Q$8,'Master Data'!$C$2:$W$2,_xlfn.XLOOKUP($A105,'Master Data'!$B$3:$B$122,'Master Data'!$C$3:$W$122))-$B105)</f>
        <v>17000</v>
      </c>
      <c r="R105" s="176" cm="1">
        <f t="array" ref="R105">10^3*(_xlfn.XLOOKUP(R$8,'Master Data'!$C$2:$W$2,_xlfn.XLOOKUP($A105,'Master Data'!$B$3:$B$122,'Master Data'!$C$3:$W$122))-$B105)</f>
        <v>19000</v>
      </c>
      <c r="S105" s="176" cm="1">
        <f t="array" ref="S105">10^3*(_xlfn.XLOOKUP(S$8,'Master Data'!$C$2:$W$2,_xlfn.XLOOKUP($A105,'Master Data'!$B$3:$B$122,'Master Data'!$C$3:$W$122))-$B105)</f>
        <v>15000</v>
      </c>
      <c r="T105" s="176" cm="1">
        <f t="array" ref="T105">10^3*(_xlfn.XLOOKUP(T$8,'Master Data'!$C$2:$W$2,_xlfn.XLOOKUP($A105,'Master Data'!$B$3:$B$122,'Master Data'!$C$3:$W$122))-$B105)</f>
        <v>17000</v>
      </c>
      <c r="U105" s="176" cm="1">
        <f t="array" ref="U105">10^3*(_xlfn.XLOOKUP(U$8,'Master Data'!$C$2:$W$2,_xlfn.XLOOKUP($A105,'Master Data'!$B$3:$B$122,'Master Data'!$C$3:$W$122))-$B105)</f>
        <v>17000</v>
      </c>
      <c r="V105" s="176" cm="1">
        <f t="array" ref="V105">10^3*(_xlfn.XLOOKUP(V$8,'Master Data'!$C$2:$W$2,_xlfn.XLOOKUP($A105,'Master Data'!$B$3:$B$122,'Master Data'!$C$3:$W$122))-$B105)</f>
        <v>17000</v>
      </c>
      <c r="W105" s="176" cm="1">
        <f t="array" ref="W105">10^3*(_xlfn.XLOOKUP(W$8,'Master Data'!$C$2:$W$2,_xlfn.XLOOKUP($A105,'Master Data'!$B$3:$B$122,'Master Data'!$C$3:$W$122))-$B105)</f>
        <v>15000</v>
      </c>
      <c r="X105" s="176" cm="1">
        <f t="array" ref="X105">10^3*(_xlfn.XLOOKUP(X$8,'Master Data'!$C$2:$W$2,_xlfn.XLOOKUP($A105,'Master Data'!$B$3:$B$122,'Master Data'!$C$3:$W$122))-$B105)</f>
        <v>15000</v>
      </c>
      <c r="Y105" s="177" cm="1">
        <f t="array" ref="Y105">10^3*(_xlfn.XLOOKUP(Y$8,'Master Data'!$C$2:$W$2,_xlfn.XLOOKUP($A105,'Master Data'!$B$3:$B$122,'Master Data'!$C$3:$W$122))-$B105)</f>
        <v>15000</v>
      </c>
      <c r="Z105" s="177" t="e" cm="1">
        <f t="array" ref="Z105">10^3*(_xlfn.XLOOKUP(Z$8,'Master Data'!$C$2:$W$2,_xlfn.XLOOKUP($A105,'Master Data'!$B$3:$B$122,'Master Data'!$C$3:$W$122))-$B105)</f>
        <v>#N/A</v>
      </c>
      <c r="AA105" s="177" t="e" cm="1">
        <f t="array" ref="AA105">10^3*(_xlfn.XLOOKUP(AA$8,'Master Data'!$C$2:$W$2,_xlfn.XLOOKUP($A105,'Master Data'!$B$3:$B$122,'Master Data'!$C$3:$W$122))-$B105)</f>
        <v>#N/A</v>
      </c>
    </row>
    <row r="106" spans="1:27" s="172" customFormat="1" x14ac:dyDescent="0.25">
      <c r="A106" s="173" t="s">
        <v>137</v>
      </c>
      <c r="B106" s="174">
        <v>77</v>
      </c>
      <c r="C106" s="172" t="b">
        <f>ISNUMBER(_xlfn.XMATCH(A106,'Master Data'!$B$3:$B$122))</f>
        <v>1</v>
      </c>
      <c r="E106" s="175" cm="1">
        <f t="array" ref="E106">10^3*(_xlfn.XLOOKUP(E$8,'Master Data'!$C$2:$W$2,_xlfn.XLOOKUP($A106,'Master Data'!$B$3:$B$122,'Master Data'!$C$3:$W$122))-$B106)</f>
        <v>-2000</v>
      </c>
      <c r="F106" s="176" cm="1">
        <f t="array" ref="F106">10^3*(_xlfn.XLOOKUP(F$8,'Master Data'!$C$2:$W$2,_xlfn.XLOOKUP($A106,'Master Data'!$B$3:$B$122,'Master Data'!$C$3:$W$122))-$B106)</f>
        <v>-2000</v>
      </c>
      <c r="G106" s="176" cm="1">
        <f t="array" ref="G106">10^3*(_xlfn.XLOOKUP(G$8,'Master Data'!$C$2:$W$2,_xlfn.XLOOKUP($A106,'Master Data'!$B$3:$B$122,'Master Data'!$C$3:$W$122))-$B106)</f>
        <v>-4000</v>
      </c>
      <c r="H106" s="176" cm="1">
        <f t="array" ref="H106">10^3*(_xlfn.XLOOKUP(H$8,'Master Data'!$C$2:$W$2,_xlfn.XLOOKUP($A106,'Master Data'!$B$3:$B$122,'Master Data'!$C$3:$W$122))-$B106)</f>
        <v>-4000</v>
      </c>
      <c r="I106" s="176" cm="1">
        <f t="array" ref="I106">10^3*(_xlfn.XLOOKUP(I$8,'Master Data'!$C$2:$W$2,_xlfn.XLOOKUP($A106,'Master Data'!$B$3:$B$122,'Master Data'!$C$3:$W$122))-$B106)</f>
        <v>-4000</v>
      </c>
      <c r="J106" s="176" cm="1">
        <f t="array" ref="J106">10^3*(_xlfn.XLOOKUP(J$8,'Master Data'!$C$2:$W$2,_xlfn.XLOOKUP($A106,'Master Data'!$B$3:$B$122,'Master Data'!$C$3:$W$122))-$B106)</f>
        <v>-4000</v>
      </c>
      <c r="K106" s="176" cm="1">
        <f t="array" ref="K106">10^3*(_xlfn.XLOOKUP(K$8,'Master Data'!$C$2:$W$2,_xlfn.XLOOKUP($A106,'Master Data'!$B$3:$B$122,'Master Data'!$C$3:$W$122))-$B106)</f>
        <v>-4000</v>
      </c>
      <c r="L106" s="176" cm="1">
        <f t="array" ref="L106">10^3*(_xlfn.XLOOKUP(L$8,'Master Data'!$C$2:$W$2,_xlfn.XLOOKUP($A106,'Master Data'!$B$3:$B$122,'Master Data'!$C$3:$W$122))-$B106)</f>
        <v>-4000</v>
      </c>
      <c r="M106" s="176" cm="1">
        <f t="array" ref="M106">10^3*(_xlfn.XLOOKUP(M$8,'Master Data'!$C$2:$W$2,_xlfn.XLOOKUP($A106,'Master Data'!$B$3:$B$122,'Master Data'!$C$3:$W$122))-$B106)</f>
        <v>-4000</v>
      </c>
      <c r="N106" s="176" cm="1">
        <f t="array" ref="N106">10^3*(_xlfn.XLOOKUP(N$8,'Master Data'!$C$2:$W$2,_xlfn.XLOOKUP($A106,'Master Data'!$B$3:$B$122,'Master Data'!$C$3:$W$122))-$B106)</f>
        <v>-4000</v>
      </c>
      <c r="O106" s="176" cm="1">
        <f t="array" ref="O106">10^3*(_xlfn.XLOOKUP(O$8,'Master Data'!$C$2:$W$2,_xlfn.XLOOKUP($A106,'Master Data'!$B$3:$B$122,'Master Data'!$C$3:$W$122))-$B106)</f>
        <v>-4000</v>
      </c>
      <c r="P106" s="176" cm="1">
        <f t="array" ref="P106">10^3*(_xlfn.XLOOKUP(P$8,'Master Data'!$C$2:$W$2,_xlfn.XLOOKUP($A106,'Master Data'!$B$3:$B$122,'Master Data'!$C$3:$W$122))-$B106)</f>
        <v>-2000</v>
      </c>
      <c r="Q106" s="176" cm="1">
        <f t="array" ref="Q106">10^3*(_xlfn.XLOOKUP(Q$8,'Master Data'!$C$2:$W$2,_xlfn.XLOOKUP($A106,'Master Data'!$B$3:$B$122,'Master Data'!$C$3:$W$122))-$B106)</f>
        <v>-2000</v>
      </c>
      <c r="R106" s="176" cm="1">
        <f t="array" ref="R106">10^3*(_xlfn.XLOOKUP(R$8,'Master Data'!$C$2:$W$2,_xlfn.XLOOKUP($A106,'Master Data'!$B$3:$B$122,'Master Data'!$C$3:$W$122))-$B106)</f>
        <v>-2000</v>
      </c>
      <c r="S106" s="176" cm="1">
        <f t="array" ref="S106">10^3*(_xlfn.XLOOKUP(S$8,'Master Data'!$C$2:$W$2,_xlfn.XLOOKUP($A106,'Master Data'!$B$3:$B$122,'Master Data'!$C$3:$W$122))-$B106)</f>
        <v>-4000</v>
      </c>
      <c r="T106" s="176" cm="1">
        <f t="array" ref="T106">10^3*(_xlfn.XLOOKUP(T$8,'Master Data'!$C$2:$W$2,_xlfn.XLOOKUP($A106,'Master Data'!$B$3:$B$122,'Master Data'!$C$3:$W$122))-$B106)</f>
        <v>-2000</v>
      </c>
      <c r="U106" s="176" cm="1">
        <f t="array" ref="U106">10^3*(_xlfn.XLOOKUP(U$8,'Master Data'!$C$2:$W$2,_xlfn.XLOOKUP($A106,'Master Data'!$B$3:$B$122,'Master Data'!$C$3:$W$122))-$B106)</f>
        <v>-2000</v>
      </c>
      <c r="V106" s="176" cm="1">
        <f t="array" ref="V106">10^3*(_xlfn.XLOOKUP(V$8,'Master Data'!$C$2:$W$2,_xlfn.XLOOKUP($A106,'Master Data'!$B$3:$B$122,'Master Data'!$C$3:$W$122))-$B106)</f>
        <v>-2000</v>
      </c>
      <c r="W106" s="176" cm="1">
        <f t="array" ref="W106">10^3*(_xlfn.XLOOKUP(W$8,'Master Data'!$C$2:$W$2,_xlfn.XLOOKUP($A106,'Master Data'!$B$3:$B$122,'Master Data'!$C$3:$W$122))-$B106)</f>
        <v>-4000</v>
      </c>
      <c r="X106" s="176" cm="1">
        <f t="array" ref="X106">10^3*(_xlfn.XLOOKUP(X$8,'Master Data'!$C$2:$W$2,_xlfn.XLOOKUP($A106,'Master Data'!$B$3:$B$122,'Master Data'!$C$3:$W$122))-$B106)</f>
        <v>-4000</v>
      </c>
      <c r="Y106" s="177" cm="1">
        <f t="array" ref="Y106">10^3*(_xlfn.XLOOKUP(Y$8,'Master Data'!$C$2:$W$2,_xlfn.XLOOKUP($A106,'Master Data'!$B$3:$B$122,'Master Data'!$C$3:$W$122))-$B106)</f>
        <v>-4000</v>
      </c>
      <c r="Z106" s="177" t="e" cm="1">
        <f t="array" ref="Z106">10^3*(_xlfn.XLOOKUP(Z$8,'Master Data'!$C$2:$W$2,_xlfn.XLOOKUP($A106,'Master Data'!$B$3:$B$122,'Master Data'!$C$3:$W$122))-$B106)</f>
        <v>#N/A</v>
      </c>
      <c r="AA106" s="177" t="e" cm="1">
        <f t="array" ref="AA106">10^3*(_xlfn.XLOOKUP(AA$8,'Master Data'!$C$2:$W$2,_xlfn.XLOOKUP($A106,'Master Data'!$B$3:$B$122,'Master Data'!$C$3:$W$122))-$B106)</f>
        <v>#N/A</v>
      </c>
    </row>
    <row r="107" spans="1:27" s="172" customFormat="1" x14ac:dyDescent="0.25">
      <c r="A107" s="173" t="s">
        <v>33</v>
      </c>
      <c r="B107" s="174">
        <v>65</v>
      </c>
      <c r="C107" s="172" t="b">
        <f>ISNUMBER(_xlfn.XMATCH(A107,'Master Data'!$B$3:$B$122))</f>
        <v>1</v>
      </c>
      <c r="E107" s="175" cm="1">
        <f t="array" ref="E107">10^3*(_xlfn.XLOOKUP(E$8,'Master Data'!$C$2:$W$2,_xlfn.XLOOKUP($A107,'Master Data'!$B$3:$B$122,'Master Data'!$C$3:$W$122))-$B107)</f>
        <v>20000</v>
      </c>
      <c r="F107" s="176" cm="1">
        <f t="array" ref="F107">10^3*(_xlfn.XLOOKUP(F$8,'Master Data'!$C$2:$W$2,_xlfn.XLOOKUP($A107,'Master Data'!$B$3:$B$122,'Master Data'!$C$3:$W$122))-$B107)</f>
        <v>20000</v>
      </c>
      <c r="G107" s="176" cm="1">
        <f t="array" ref="G107">10^3*(_xlfn.XLOOKUP(G$8,'Master Data'!$C$2:$W$2,_xlfn.XLOOKUP($A107,'Master Data'!$B$3:$B$122,'Master Data'!$C$3:$W$122))-$B107)</f>
        <v>18000</v>
      </c>
      <c r="H107" s="176" cm="1">
        <f t="array" ref="H107">10^3*(_xlfn.XLOOKUP(H$8,'Master Data'!$C$2:$W$2,_xlfn.XLOOKUP($A107,'Master Data'!$B$3:$B$122,'Master Data'!$C$3:$W$122))-$B107)</f>
        <v>18000</v>
      </c>
      <c r="I107" s="176" cm="1">
        <f t="array" ref="I107">10^3*(_xlfn.XLOOKUP(I$8,'Master Data'!$C$2:$W$2,_xlfn.XLOOKUP($A107,'Master Data'!$B$3:$B$122,'Master Data'!$C$3:$W$122))-$B107)</f>
        <v>18000</v>
      </c>
      <c r="J107" s="176" cm="1">
        <f t="array" ref="J107">10^3*(_xlfn.XLOOKUP(J$8,'Master Data'!$C$2:$W$2,_xlfn.XLOOKUP($A107,'Master Data'!$B$3:$B$122,'Master Data'!$C$3:$W$122))-$B107)</f>
        <v>18000</v>
      </c>
      <c r="K107" s="176" cm="1">
        <f t="array" ref="K107">10^3*(_xlfn.XLOOKUP(K$8,'Master Data'!$C$2:$W$2,_xlfn.XLOOKUP($A107,'Master Data'!$B$3:$B$122,'Master Data'!$C$3:$W$122))-$B107)</f>
        <v>18000</v>
      </c>
      <c r="L107" s="176" cm="1">
        <f t="array" ref="L107">10^3*(_xlfn.XLOOKUP(L$8,'Master Data'!$C$2:$W$2,_xlfn.XLOOKUP($A107,'Master Data'!$B$3:$B$122,'Master Data'!$C$3:$W$122))-$B107)</f>
        <v>18000</v>
      </c>
      <c r="M107" s="176" cm="1">
        <f t="array" ref="M107">10^3*(_xlfn.XLOOKUP(M$8,'Master Data'!$C$2:$W$2,_xlfn.XLOOKUP($A107,'Master Data'!$B$3:$B$122,'Master Data'!$C$3:$W$122))-$B107)</f>
        <v>18000</v>
      </c>
      <c r="N107" s="176" cm="1">
        <f t="array" ref="N107">10^3*(_xlfn.XLOOKUP(N$8,'Master Data'!$C$2:$W$2,_xlfn.XLOOKUP($A107,'Master Data'!$B$3:$B$122,'Master Data'!$C$3:$W$122))-$B107)</f>
        <v>18000</v>
      </c>
      <c r="O107" s="176" cm="1">
        <f t="array" ref="O107">10^3*(_xlfn.XLOOKUP(O$8,'Master Data'!$C$2:$W$2,_xlfn.XLOOKUP($A107,'Master Data'!$B$3:$B$122,'Master Data'!$C$3:$W$122))-$B107)</f>
        <v>18000</v>
      </c>
      <c r="P107" s="176" cm="1">
        <f t="array" ref="P107">10^3*(_xlfn.XLOOKUP(P$8,'Master Data'!$C$2:$W$2,_xlfn.XLOOKUP($A107,'Master Data'!$B$3:$B$122,'Master Data'!$C$3:$W$122))-$B107)</f>
        <v>20000</v>
      </c>
      <c r="Q107" s="176" cm="1">
        <f t="array" ref="Q107">10^3*(_xlfn.XLOOKUP(Q$8,'Master Data'!$C$2:$W$2,_xlfn.XLOOKUP($A107,'Master Data'!$B$3:$B$122,'Master Data'!$C$3:$W$122))-$B107)</f>
        <v>20000</v>
      </c>
      <c r="R107" s="176" cm="1">
        <f t="array" ref="R107">10^3*(_xlfn.XLOOKUP(R$8,'Master Data'!$C$2:$W$2,_xlfn.XLOOKUP($A107,'Master Data'!$B$3:$B$122,'Master Data'!$C$3:$W$122))-$B107)</f>
        <v>22000</v>
      </c>
      <c r="S107" s="176" cm="1">
        <f t="array" ref="S107">10^3*(_xlfn.XLOOKUP(S$8,'Master Data'!$C$2:$W$2,_xlfn.XLOOKUP($A107,'Master Data'!$B$3:$B$122,'Master Data'!$C$3:$W$122))-$B107)</f>
        <v>18000</v>
      </c>
      <c r="T107" s="176" cm="1">
        <f t="array" ref="T107">10^3*(_xlfn.XLOOKUP(T$8,'Master Data'!$C$2:$W$2,_xlfn.XLOOKUP($A107,'Master Data'!$B$3:$B$122,'Master Data'!$C$3:$W$122))-$B107)</f>
        <v>20000</v>
      </c>
      <c r="U107" s="176" cm="1">
        <f t="array" ref="U107">10^3*(_xlfn.XLOOKUP(U$8,'Master Data'!$C$2:$W$2,_xlfn.XLOOKUP($A107,'Master Data'!$B$3:$B$122,'Master Data'!$C$3:$W$122))-$B107)</f>
        <v>20000</v>
      </c>
      <c r="V107" s="176" cm="1">
        <f t="array" ref="V107">10^3*(_xlfn.XLOOKUP(V$8,'Master Data'!$C$2:$W$2,_xlfn.XLOOKUP($A107,'Master Data'!$B$3:$B$122,'Master Data'!$C$3:$W$122))-$B107)</f>
        <v>20000</v>
      </c>
      <c r="W107" s="176" cm="1">
        <f t="array" ref="W107">10^3*(_xlfn.XLOOKUP(W$8,'Master Data'!$C$2:$W$2,_xlfn.XLOOKUP($A107,'Master Data'!$B$3:$B$122,'Master Data'!$C$3:$W$122))-$B107)</f>
        <v>18000</v>
      </c>
      <c r="X107" s="176" cm="1">
        <f t="array" ref="X107">10^3*(_xlfn.XLOOKUP(X$8,'Master Data'!$C$2:$W$2,_xlfn.XLOOKUP($A107,'Master Data'!$B$3:$B$122,'Master Data'!$C$3:$W$122))-$B107)</f>
        <v>18000</v>
      </c>
      <c r="Y107" s="177" cm="1">
        <f t="array" ref="Y107">10^3*(_xlfn.XLOOKUP(Y$8,'Master Data'!$C$2:$W$2,_xlfn.XLOOKUP($A107,'Master Data'!$B$3:$B$122,'Master Data'!$C$3:$W$122))-$B107)</f>
        <v>18000</v>
      </c>
      <c r="Z107" s="177" t="e" cm="1">
        <f t="array" ref="Z107">10^3*(_xlfn.XLOOKUP(Z$8,'Master Data'!$C$2:$W$2,_xlfn.XLOOKUP($A107,'Master Data'!$B$3:$B$122,'Master Data'!$C$3:$W$122))-$B107)</f>
        <v>#N/A</v>
      </c>
      <c r="AA107" s="177" t="e" cm="1">
        <f t="array" ref="AA107">10^3*(_xlfn.XLOOKUP(AA$8,'Master Data'!$C$2:$W$2,_xlfn.XLOOKUP($A107,'Master Data'!$B$3:$B$122,'Master Data'!$C$3:$W$122))-$B107)</f>
        <v>#N/A</v>
      </c>
    </row>
    <row r="108" spans="1:27" s="172" customFormat="1" x14ac:dyDescent="0.25">
      <c r="A108" s="173" t="s">
        <v>138</v>
      </c>
      <c r="B108" s="174">
        <v>60</v>
      </c>
      <c r="C108" s="172" t="b">
        <f>ISNUMBER(_xlfn.XMATCH(A108,'Master Data'!$B$3:$B$122))</f>
        <v>1</v>
      </c>
      <c r="E108" s="175" cm="1">
        <f t="array" ref="E108">10^3*(_xlfn.XLOOKUP(E$8,'Master Data'!$C$2:$W$2,_xlfn.XLOOKUP($A108,'Master Data'!$B$3:$B$122,'Master Data'!$C$3:$W$122))-$B108)</f>
        <v>15000</v>
      </c>
      <c r="F108" s="176" cm="1">
        <f t="array" ref="F108">10^3*(_xlfn.XLOOKUP(F$8,'Master Data'!$C$2:$W$2,_xlfn.XLOOKUP($A108,'Master Data'!$B$3:$B$122,'Master Data'!$C$3:$W$122))-$B108)</f>
        <v>15000</v>
      </c>
      <c r="G108" s="176" cm="1">
        <f t="array" ref="G108">10^3*(_xlfn.XLOOKUP(G$8,'Master Data'!$C$2:$W$2,_xlfn.XLOOKUP($A108,'Master Data'!$B$3:$B$122,'Master Data'!$C$3:$W$122))-$B108)</f>
        <v>15000</v>
      </c>
      <c r="H108" s="176" cm="1">
        <f t="array" ref="H108">10^3*(_xlfn.XLOOKUP(H$8,'Master Data'!$C$2:$W$2,_xlfn.XLOOKUP($A108,'Master Data'!$B$3:$B$122,'Master Data'!$C$3:$W$122))-$B108)</f>
        <v>15000</v>
      </c>
      <c r="I108" s="176" cm="1">
        <f t="array" ref="I108">10^3*(_xlfn.XLOOKUP(I$8,'Master Data'!$C$2:$W$2,_xlfn.XLOOKUP($A108,'Master Data'!$B$3:$B$122,'Master Data'!$C$3:$W$122))-$B108)</f>
        <v>15000</v>
      </c>
      <c r="J108" s="176" cm="1">
        <f t="array" ref="J108">10^3*(_xlfn.XLOOKUP(J$8,'Master Data'!$C$2:$W$2,_xlfn.XLOOKUP($A108,'Master Data'!$B$3:$B$122,'Master Data'!$C$3:$W$122))-$B108)</f>
        <v>15000</v>
      </c>
      <c r="K108" s="176" cm="1">
        <f t="array" ref="K108">10^3*(_xlfn.XLOOKUP(K$8,'Master Data'!$C$2:$W$2,_xlfn.XLOOKUP($A108,'Master Data'!$B$3:$B$122,'Master Data'!$C$3:$W$122))-$B108)</f>
        <v>15000</v>
      </c>
      <c r="L108" s="176" cm="1">
        <f t="array" ref="L108">10^3*(_xlfn.XLOOKUP(L$8,'Master Data'!$C$2:$W$2,_xlfn.XLOOKUP($A108,'Master Data'!$B$3:$B$122,'Master Data'!$C$3:$W$122))-$B108)</f>
        <v>15000</v>
      </c>
      <c r="M108" s="176" cm="1">
        <f t="array" ref="M108">10^3*(_xlfn.XLOOKUP(M$8,'Master Data'!$C$2:$W$2,_xlfn.XLOOKUP($A108,'Master Data'!$B$3:$B$122,'Master Data'!$C$3:$W$122))-$B108)</f>
        <v>15000</v>
      </c>
      <c r="N108" s="176" cm="1">
        <f t="array" ref="N108">10^3*(_xlfn.XLOOKUP(N$8,'Master Data'!$C$2:$W$2,_xlfn.XLOOKUP($A108,'Master Data'!$B$3:$B$122,'Master Data'!$C$3:$W$122))-$B108)</f>
        <v>15000</v>
      </c>
      <c r="O108" s="176" cm="1">
        <f t="array" ref="O108">10^3*(_xlfn.XLOOKUP(O$8,'Master Data'!$C$2:$W$2,_xlfn.XLOOKUP($A108,'Master Data'!$B$3:$B$122,'Master Data'!$C$3:$W$122))-$B108)</f>
        <v>15000</v>
      </c>
      <c r="P108" s="176" cm="1">
        <f t="array" ref="P108">10^3*(_xlfn.XLOOKUP(P$8,'Master Data'!$C$2:$W$2,_xlfn.XLOOKUP($A108,'Master Data'!$B$3:$B$122,'Master Data'!$C$3:$W$122))-$B108)</f>
        <v>15000</v>
      </c>
      <c r="Q108" s="176" cm="1">
        <f t="array" ref="Q108">10^3*(_xlfn.XLOOKUP(Q$8,'Master Data'!$C$2:$W$2,_xlfn.XLOOKUP($A108,'Master Data'!$B$3:$B$122,'Master Data'!$C$3:$W$122))-$B108)</f>
        <v>15000</v>
      </c>
      <c r="R108" s="176" cm="1">
        <f t="array" ref="R108">10^3*(_xlfn.XLOOKUP(R$8,'Master Data'!$C$2:$W$2,_xlfn.XLOOKUP($A108,'Master Data'!$B$3:$B$122,'Master Data'!$C$3:$W$122))-$B108)</f>
        <v>20000</v>
      </c>
      <c r="S108" s="176" cm="1">
        <f t="array" ref="S108">10^3*(_xlfn.XLOOKUP(S$8,'Master Data'!$C$2:$W$2,_xlfn.XLOOKUP($A108,'Master Data'!$B$3:$B$122,'Master Data'!$C$3:$W$122))-$B108)</f>
        <v>15000</v>
      </c>
      <c r="T108" s="176" cm="1">
        <f t="array" ref="T108">10^3*(_xlfn.XLOOKUP(T$8,'Master Data'!$C$2:$W$2,_xlfn.XLOOKUP($A108,'Master Data'!$B$3:$B$122,'Master Data'!$C$3:$W$122))-$B108)</f>
        <v>15000</v>
      </c>
      <c r="U108" s="176" cm="1">
        <f t="array" ref="U108">10^3*(_xlfn.XLOOKUP(U$8,'Master Data'!$C$2:$W$2,_xlfn.XLOOKUP($A108,'Master Data'!$B$3:$B$122,'Master Data'!$C$3:$W$122))-$B108)</f>
        <v>15000</v>
      </c>
      <c r="V108" s="176" cm="1">
        <f t="array" ref="V108">10^3*(_xlfn.XLOOKUP(V$8,'Master Data'!$C$2:$W$2,_xlfn.XLOOKUP($A108,'Master Data'!$B$3:$B$122,'Master Data'!$C$3:$W$122))-$B108)</f>
        <v>15000</v>
      </c>
      <c r="W108" s="176" cm="1">
        <f t="array" ref="W108">10^3*(_xlfn.XLOOKUP(W$8,'Master Data'!$C$2:$W$2,_xlfn.XLOOKUP($A108,'Master Data'!$B$3:$B$122,'Master Data'!$C$3:$W$122))-$B108)</f>
        <v>15000</v>
      </c>
      <c r="X108" s="176" cm="1">
        <f t="array" ref="X108">10^3*(_xlfn.XLOOKUP(X$8,'Master Data'!$C$2:$W$2,_xlfn.XLOOKUP($A108,'Master Data'!$B$3:$B$122,'Master Data'!$C$3:$W$122))-$B108)</f>
        <v>15000</v>
      </c>
      <c r="Y108" s="177" cm="1">
        <f t="array" ref="Y108">10^3*(_xlfn.XLOOKUP(Y$8,'Master Data'!$C$2:$W$2,_xlfn.XLOOKUP($A108,'Master Data'!$B$3:$B$122,'Master Data'!$C$3:$W$122))-$B108)</f>
        <v>15000</v>
      </c>
      <c r="Z108" s="177" t="e" cm="1">
        <f t="array" ref="Z108">10^3*(_xlfn.XLOOKUP(Z$8,'Master Data'!$C$2:$W$2,_xlfn.XLOOKUP($A108,'Master Data'!$B$3:$B$122,'Master Data'!$C$3:$W$122))-$B108)</f>
        <v>#N/A</v>
      </c>
      <c r="AA108" s="177" t="e" cm="1">
        <f t="array" ref="AA108">10^3*(_xlfn.XLOOKUP(AA$8,'Master Data'!$C$2:$W$2,_xlfn.XLOOKUP($A108,'Master Data'!$B$3:$B$122,'Master Data'!$C$3:$W$122))-$B108)</f>
        <v>#N/A</v>
      </c>
    </row>
    <row r="109" spans="1:27" s="172" customFormat="1" x14ac:dyDescent="0.25">
      <c r="A109" s="173" t="s">
        <v>139</v>
      </c>
      <c r="B109" s="174">
        <v>107</v>
      </c>
      <c r="C109" s="172" t="b">
        <f>ISNUMBER(_xlfn.XMATCH(A109,'Master Data'!$B$3:$B$122))</f>
        <v>1</v>
      </c>
      <c r="E109" s="175" cm="1">
        <f t="array" ref="E109">10^3*(_xlfn.XLOOKUP(E$8,'Master Data'!$C$2:$W$2,_xlfn.XLOOKUP($A109,'Master Data'!$B$3:$B$122,'Master Data'!$C$3:$W$122))-$B109)</f>
        <v>-37000</v>
      </c>
      <c r="F109" s="176" cm="1">
        <f t="array" ref="F109">10^3*(_xlfn.XLOOKUP(F$8,'Master Data'!$C$2:$W$2,_xlfn.XLOOKUP($A109,'Master Data'!$B$3:$B$122,'Master Data'!$C$3:$W$122))-$B109)</f>
        <v>-37000</v>
      </c>
      <c r="G109" s="176" cm="1">
        <f t="array" ref="G109">10^3*(_xlfn.XLOOKUP(G$8,'Master Data'!$C$2:$W$2,_xlfn.XLOOKUP($A109,'Master Data'!$B$3:$B$122,'Master Data'!$C$3:$W$122))-$B109)</f>
        <v>-42000</v>
      </c>
      <c r="H109" s="176" cm="1">
        <f t="array" ref="H109">10^3*(_xlfn.XLOOKUP(H$8,'Master Data'!$C$2:$W$2,_xlfn.XLOOKUP($A109,'Master Data'!$B$3:$B$122,'Master Data'!$C$3:$W$122))-$B109)</f>
        <v>-42000</v>
      </c>
      <c r="I109" s="176" cm="1">
        <f t="array" ref="I109">10^3*(_xlfn.XLOOKUP(I$8,'Master Data'!$C$2:$W$2,_xlfn.XLOOKUP($A109,'Master Data'!$B$3:$B$122,'Master Data'!$C$3:$W$122))-$B109)</f>
        <v>-42000</v>
      </c>
      <c r="J109" s="176" cm="1">
        <f t="array" ref="J109">10^3*(_xlfn.XLOOKUP(J$8,'Master Data'!$C$2:$W$2,_xlfn.XLOOKUP($A109,'Master Data'!$B$3:$B$122,'Master Data'!$C$3:$W$122))-$B109)</f>
        <v>-42000</v>
      </c>
      <c r="K109" s="176" cm="1">
        <f t="array" ref="K109">10^3*(_xlfn.XLOOKUP(K$8,'Master Data'!$C$2:$W$2,_xlfn.XLOOKUP($A109,'Master Data'!$B$3:$B$122,'Master Data'!$C$3:$W$122))-$B109)</f>
        <v>-42000</v>
      </c>
      <c r="L109" s="176" cm="1">
        <f t="array" ref="L109">10^3*(_xlfn.XLOOKUP(L$8,'Master Data'!$C$2:$W$2,_xlfn.XLOOKUP($A109,'Master Data'!$B$3:$B$122,'Master Data'!$C$3:$W$122))-$B109)</f>
        <v>-42000</v>
      </c>
      <c r="M109" s="176" cm="1">
        <f t="array" ref="M109">10^3*(_xlfn.XLOOKUP(M$8,'Master Data'!$C$2:$W$2,_xlfn.XLOOKUP($A109,'Master Data'!$B$3:$B$122,'Master Data'!$C$3:$W$122))-$B109)</f>
        <v>-42000</v>
      </c>
      <c r="N109" s="176" cm="1">
        <f t="array" ref="N109">10^3*(_xlfn.XLOOKUP(N$8,'Master Data'!$C$2:$W$2,_xlfn.XLOOKUP($A109,'Master Data'!$B$3:$B$122,'Master Data'!$C$3:$W$122))-$B109)</f>
        <v>-42000</v>
      </c>
      <c r="O109" s="176" cm="1">
        <f t="array" ref="O109">10^3*(_xlfn.XLOOKUP(O$8,'Master Data'!$C$2:$W$2,_xlfn.XLOOKUP($A109,'Master Data'!$B$3:$B$122,'Master Data'!$C$3:$W$122))-$B109)</f>
        <v>-42000</v>
      </c>
      <c r="P109" s="176" cm="1">
        <f t="array" ref="P109">10^3*(_xlfn.XLOOKUP(P$8,'Master Data'!$C$2:$W$2,_xlfn.XLOOKUP($A109,'Master Data'!$B$3:$B$122,'Master Data'!$C$3:$W$122))-$B109)</f>
        <v>-37000</v>
      </c>
      <c r="Q109" s="176" cm="1">
        <f t="array" ref="Q109">10^3*(_xlfn.XLOOKUP(Q$8,'Master Data'!$C$2:$W$2,_xlfn.XLOOKUP($A109,'Master Data'!$B$3:$B$122,'Master Data'!$C$3:$W$122))-$B109)</f>
        <v>-37000</v>
      </c>
      <c r="R109" s="176" cm="1">
        <f t="array" ref="R109">10^3*(_xlfn.XLOOKUP(R$8,'Master Data'!$C$2:$W$2,_xlfn.XLOOKUP($A109,'Master Data'!$B$3:$B$122,'Master Data'!$C$3:$W$122))-$B109)</f>
        <v>-37000</v>
      </c>
      <c r="S109" s="176" cm="1">
        <f t="array" ref="S109">10^3*(_xlfn.XLOOKUP(S$8,'Master Data'!$C$2:$W$2,_xlfn.XLOOKUP($A109,'Master Data'!$B$3:$B$122,'Master Data'!$C$3:$W$122))-$B109)</f>
        <v>-42000</v>
      </c>
      <c r="T109" s="176" cm="1">
        <f t="array" ref="T109">10^3*(_xlfn.XLOOKUP(T$8,'Master Data'!$C$2:$W$2,_xlfn.XLOOKUP($A109,'Master Data'!$B$3:$B$122,'Master Data'!$C$3:$W$122))-$B109)</f>
        <v>-37000</v>
      </c>
      <c r="U109" s="176" cm="1">
        <f t="array" ref="U109">10^3*(_xlfn.XLOOKUP(U$8,'Master Data'!$C$2:$W$2,_xlfn.XLOOKUP($A109,'Master Data'!$B$3:$B$122,'Master Data'!$C$3:$W$122))-$B109)</f>
        <v>-37000</v>
      </c>
      <c r="V109" s="176" cm="1">
        <f t="array" ref="V109">10^3*(_xlfn.XLOOKUP(V$8,'Master Data'!$C$2:$W$2,_xlfn.XLOOKUP($A109,'Master Data'!$B$3:$B$122,'Master Data'!$C$3:$W$122))-$B109)</f>
        <v>-37000</v>
      </c>
      <c r="W109" s="176" cm="1">
        <f t="array" ref="W109">10^3*(_xlfn.XLOOKUP(W$8,'Master Data'!$C$2:$W$2,_xlfn.XLOOKUP($A109,'Master Data'!$B$3:$B$122,'Master Data'!$C$3:$W$122))-$B109)</f>
        <v>-42000</v>
      </c>
      <c r="X109" s="176" cm="1">
        <f t="array" ref="X109">10^3*(_xlfn.XLOOKUP(X$8,'Master Data'!$C$2:$W$2,_xlfn.XLOOKUP($A109,'Master Data'!$B$3:$B$122,'Master Data'!$C$3:$W$122))-$B109)</f>
        <v>-42000</v>
      </c>
      <c r="Y109" s="177" cm="1">
        <f t="array" ref="Y109">10^3*(_xlfn.XLOOKUP(Y$8,'Master Data'!$C$2:$W$2,_xlfn.XLOOKUP($A109,'Master Data'!$B$3:$B$122,'Master Data'!$C$3:$W$122))-$B109)</f>
        <v>-42000</v>
      </c>
      <c r="Z109" s="177" t="e" cm="1">
        <f t="array" ref="Z109">10^3*(_xlfn.XLOOKUP(Z$8,'Master Data'!$C$2:$W$2,_xlfn.XLOOKUP($A109,'Master Data'!$B$3:$B$122,'Master Data'!$C$3:$W$122))-$B109)</f>
        <v>#N/A</v>
      </c>
      <c r="AA109" s="177" t="e" cm="1">
        <f t="array" ref="AA109">10^3*(_xlfn.XLOOKUP(AA$8,'Master Data'!$C$2:$W$2,_xlfn.XLOOKUP($A109,'Master Data'!$B$3:$B$122,'Master Data'!$C$3:$W$122))-$B109)</f>
        <v>#N/A</v>
      </c>
    </row>
    <row r="110" spans="1:27" s="172" customFormat="1" x14ac:dyDescent="0.25">
      <c r="A110" s="173" t="s">
        <v>140</v>
      </c>
      <c r="B110" s="174">
        <v>85</v>
      </c>
      <c r="C110" s="172" t="b">
        <f>ISNUMBER(_xlfn.XMATCH(A110,'Master Data'!$B$3:$B$122))</f>
        <v>1</v>
      </c>
      <c r="E110" s="175" cm="1">
        <f t="array" ref="E110">10^3*(_xlfn.XLOOKUP(E$8,'Master Data'!$C$2:$W$2,_xlfn.XLOOKUP($A110,'Master Data'!$B$3:$B$122,'Master Data'!$C$3:$W$122))-$B110)</f>
        <v>30000</v>
      </c>
      <c r="F110" s="176" cm="1">
        <f t="array" ref="F110">10^3*(_xlfn.XLOOKUP(F$8,'Master Data'!$C$2:$W$2,_xlfn.XLOOKUP($A110,'Master Data'!$B$3:$B$122,'Master Data'!$C$3:$W$122))-$B110)</f>
        <v>30000</v>
      </c>
      <c r="G110" s="176" cm="1">
        <f t="array" ref="G110">10^3*(_xlfn.XLOOKUP(G$8,'Master Data'!$C$2:$W$2,_xlfn.XLOOKUP($A110,'Master Data'!$B$3:$B$122,'Master Data'!$C$3:$W$122))-$B110)</f>
        <v>30000</v>
      </c>
      <c r="H110" s="176" cm="1">
        <f t="array" ref="H110">10^3*(_xlfn.XLOOKUP(H$8,'Master Data'!$C$2:$W$2,_xlfn.XLOOKUP($A110,'Master Data'!$B$3:$B$122,'Master Data'!$C$3:$W$122))-$B110)</f>
        <v>30000</v>
      </c>
      <c r="I110" s="176" cm="1">
        <f t="array" ref="I110">10^3*(_xlfn.XLOOKUP(I$8,'Master Data'!$C$2:$W$2,_xlfn.XLOOKUP($A110,'Master Data'!$B$3:$B$122,'Master Data'!$C$3:$W$122))-$B110)</f>
        <v>30000</v>
      </c>
      <c r="J110" s="176" cm="1">
        <f t="array" ref="J110">10^3*(_xlfn.XLOOKUP(J$8,'Master Data'!$C$2:$W$2,_xlfn.XLOOKUP($A110,'Master Data'!$B$3:$B$122,'Master Data'!$C$3:$W$122))-$B110)</f>
        <v>30000</v>
      </c>
      <c r="K110" s="176" cm="1">
        <f t="array" ref="K110">10^3*(_xlfn.XLOOKUP(K$8,'Master Data'!$C$2:$W$2,_xlfn.XLOOKUP($A110,'Master Data'!$B$3:$B$122,'Master Data'!$C$3:$W$122))-$B110)</f>
        <v>30000</v>
      </c>
      <c r="L110" s="176" cm="1">
        <f t="array" ref="L110">10^3*(_xlfn.XLOOKUP(L$8,'Master Data'!$C$2:$W$2,_xlfn.XLOOKUP($A110,'Master Data'!$B$3:$B$122,'Master Data'!$C$3:$W$122))-$B110)</f>
        <v>30000</v>
      </c>
      <c r="M110" s="176" cm="1">
        <f t="array" ref="M110">10^3*(_xlfn.XLOOKUP(M$8,'Master Data'!$C$2:$W$2,_xlfn.XLOOKUP($A110,'Master Data'!$B$3:$B$122,'Master Data'!$C$3:$W$122))-$B110)</f>
        <v>30000</v>
      </c>
      <c r="N110" s="176" cm="1">
        <f t="array" ref="N110">10^3*(_xlfn.XLOOKUP(N$8,'Master Data'!$C$2:$W$2,_xlfn.XLOOKUP($A110,'Master Data'!$B$3:$B$122,'Master Data'!$C$3:$W$122))-$B110)</f>
        <v>30000</v>
      </c>
      <c r="O110" s="176" cm="1">
        <f t="array" ref="O110">10^3*(_xlfn.XLOOKUP(O$8,'Master Data'!$C$2:$W$2,_xlfn.XLOOKUP($A110,'Master Data'!$B$3:$B$122,'Master Data'!$C$3:$W$122))-$B110)</f>
        <v>30000</v>
      </c>
      <c r="P110" s="176" cm="1">
        <f t="array" ref="P110">10^3*(_xlfn.XLOOKUP(P$8,'Master Data'!$C$2:$W$2,_xlfn.XLOOKUP($A110,'Master Data'!$B$3:$B$122,'Master Data'!$C$3:$W$122))-$B110)</f>
        <v>30000</v>
      </c>
      <c r="Q110" s="176" cm="1">
        <f t="array" ref="Q110">10^3*(_xlfn.XLOOKUP(Q$8,'Master Data'!$C$2:$W$2,_xlfn.XLOOKUP($A110,'Master Data'!$B$3:$B$122,'Master Data'!$C$3:$W$122))-$B110)</f>
        <v>30000</v>
      </c>
      <c r="R110" s="176" cm="1">
        <f t="array" ref="R110">10^3*(_xlfn.XLOOKUP(R$8,'Master Data'!$C$2:$W$2,_xlfn.XLOOKUP($A110,'Master Data'!$B$3:$B$122,'Master Data'!$C$3:$W$122))-$B110)</f>
        <v>35000</v>
      </c>
      <c r="S110" s="176" cm="1">
        <f t="array" ref="S110">10^3*(_xlfn.XLOOKUP(S$8,'Master Data'!$C$2:$W$2,_xlfn.XLOOKUP($A110,'Master Data'!$B$3:$B$122,'Master Data'!$C$3:$W$122))-$B110)</f>
        <v>30000</v>
      </c>
      <c r="T110" s="176" cm="1">
        <f t="array" ref="T110">10^3*(_xlfn.XLOOKUP(T$8,'Master Data'!$C$2:$W$2,_xlfn.XLOOKUP($A110,'Master Data'!$B$3:$B$122,'Master Data'!$C$3:$W$122))-$B110)</f>
        <v>30000</v>
      </c>
      <c r="U110" s="176" cm="1">
        <f t="array" ref="U110">10^3*(_xlfn.XLOOKUP(U$8,'Master Data'!$C$2:$W$2,_xlfn.XLOOKUP($A110,'Master Data'!$B$3:$B$122,'Master Data'!$C$3:$W$122))-$B110)</f>
        <v>30000</v>
      </c>
      <c r="V110" s="176" cm="1">
        <f t="array" ref="V110">10^3*(_xlfn.XLOOKUP(V$8,'Master Data'!$C$2:$W$2,_xlfn.XLOOKUP($A110,'Master Data'!$B$3:$B$122,'Master Data'!$C$3:$W$122))-$B110)</f>
        <v>30000</v>
      </c>
      <c r="W110" s="176" cm="1">
        <f t="array" ref="W110">10^3*(_xlfn.XLOOKUP(W$8,'Master Data'!$C$2:$W$2,_xlfn.XLOOKUP($A110,'Master Data'!$B$3:$B$122,'Master Data'!$C$3:$W$122))-$B110)</f>
        <v>30000</v>
      </c>
      <c r="X110" s="176" cm="1">
        <f t="array" ref="X110">10^3*(_xlfn.XLOOKUP(X$8,'Master Data'!$C$2:$W$2,_xlfn.XLOOKUP($A110,'Master Data'!$B$3:$B$122,'Master Data'!$C$3:$W$122))-$B110)</f>
        <v>30000</v>
      </c>
      <c r="Y110" s="177" cm="1">
        <f t="array" ref="Y110">10^3*(_xlfn.XLOOKUP(Y$8,'Master Data'!$C$2:$W$2,_xlfn.XLOOKUP($A110,'Master Data'!$B$3:$B$122,'Master Data'!$C$3:$W$122))-$B110)</f>
        <v>30000</v>
      </c>
      <c r="Z110" s="177" t="e" cm="1">
        <f t="array" ref="Z110">10^3*(_xlfn.XLOOKUP(Z$8,'Master Data'!$C$2:$W$2,_xlfn.XLOOKUP($A110,'Master Data'!$B$3:$B$122,'Master Data'!$C$3:$W$122))-$B110)</f>
        <v>#N/A</v>
      </c>
      <c r="AA110" s="177" t="e" cm="1">
        <f t="array" ref="AA110">10^3*(_xlfn.XLOOKUP(AA$8,'Master Data'!$C$2:$W$2,_xlfn.XLOOKUP($A110,'Master Data'!$B$3:$B$122,'Master Data'!$C$3:$W$122))-$B110)</f>
        <v>#N/A</v>
      </c>
    </row>
    <row r="111" spans="1:27" s="172" customFormat="1" x14ac:dyDescent="0.25">
      <c r="A111" s="173" t="s">
        <v>43</v>
      </c>
      <c r="B111" s="174">
        <v>85</v>
      </c>
      <c r="C111" s="172" t="b">
        <f>ISNUMBER(_xlfn.XMATCH(A111,'Master Data'!$B$3:$B$122))</f>
        <v>1</v>
      </c>
      <c r="E111" s="175" cm="1">
        <f t="array" ref="E111">10^3*(_xlfn.XLOOKUP(E$8,'Master Data'!$C$2:$W$2,_xlfn.XLOOKUP($A111,'Master Data'!$B$3:$B$122,'Master Data'!$C$3:$W$122))-$B111)</f>
        <v>5000</v>
      </c>
      <c r="F111" s="176" cm="1">
        <f t="array" ref="F111">10^3*(_xlfn.XLOOKUP(F$8,'Master Data'!$C$2:$W$2,_xlfn.XLOOKUP($A111,'Master Data'!$B$3:$B$122,'Master Data'!$C$3:$W$122))-$B111)</f>
        <v>5000</v>
      </c>
      <c r="G111" s="176" cm="1">
        <f t="array" ref="G111">10^3*(_xlfn.XLOOKUP(G$8,'Master Data'!$C$2:$W$2,_xlfn.XLOOKUP($A111,'Master Data'!$B$3:$B$122,'Master Data'!$C$3:$W$122))-$B111)</f>
        <v>2000</v>
      </c>
      <c r="H111" s="176" cm="1">
        <f t="array" ref="H111">10^3*(_xlfn.XLOOKUP(H$8,'Master Data'!$C$2:$W$2,_xlfn.XLOOKUP($A111,'Master Data'!$B$3:$B$122,'Master Data'!$C$3:$W$122))-$B111)</f>
        <v>2000</v>
      </c>
      <c r="I111" s="176" cm="1">
        <f t="array" ref="I111">10^3*(_xlfn.XLOOKUP(I$8,'Master Data'!$C$2:$W$2,_xlfn.XLOOKUP($A111,'Master Data'!$B$3:$B$122,'Master Data'!$C$3:$W$122))-$B111)</f>
        <v>2000</v>
      </c>
      <c r="J111" s="176" cm="1">
        <f t="array" ref="J111">10^3*(_xlfn.XLOOKUP(J$8,'Master Data'!$C$2:$W$2,_xlfn.XLOOKUP($A111,'Master Data'!$B$3:$B$122,'Master Data'!$C$3:$W$122))-$B111)</f>
        <v>2000</v>
      </c>
      <c r="K111" s="176" cm="1">
        <f t="array" ref="K111">10^3*(_xlfn.XLOOKUP(K$8,'Master Data'!$C$2:$W$2,_xlfn.XLOOKUP($A111,'Master Data'!$B$3:$B$122,'Master Data'!$C$3:$W$122))-$B111)</f>
        <v>2000</v>
      </c>
      <c r="L111" s="176" cm="1">
        <f t="array" ref="L111">10^3*(_xlfn.XLOOKUP(L$8,'Master Data'!$C$2:$W$2,_xlfn.XLOOKUP($A111,'Master Data'!$B$3:$B$122,'Master Data'!$C$3:$W$122))-$B111)</f>
        <v>2000</v>
      </c>
      <c r="M111" s="176" cm="1">
        <f t="array" ref="M111">10^3*(_xlfn.XLOOKUP(M$8,'Master Data'!$C$2:$W$2,_xlfn.XLOOKUP($A111,'Master Data'!$B$3:$B$122,'Master Data'!$C$3:$W$122))-$B111)</f>
        <v>2000</v>
      </c>
      <c r="N111" s="176" cm="1">
        <f t="array" ref="N111">10^3*(_xlfn.XLOOKUP(N$8,'Master Data'!$C$2:$W$2,_xlfn.XLOOKUP($A111,'Master Data'!$B$3:$B$122,'Master Data'!$C$3:$W$122))-$B111)</f>
        <v>2000</v>
      </c>
      <c r="O111" s="176" cm="1">
        <f t="array" ref="O111">10^3*(_xlfn.XLOOKUP(O$8,'Master Data'!$C$2:$W$2,_xlfn.XLOOKUP($A111,'Master Data'!$B$3:$B$122,'Master Data'!$C$3:$W$122))-$B111)</f>
        <v>2000</v>
      </c>
      <c r="P111" s="176" cm="1">
        <f t="array" ref="P111">10^3*(_xlfn.XLOOKUP(P$8,'Master Data'!$C$2:$W$2,_xlfn.XLOOKUP($A111,'Master Data'!$B$3:$B$122,'Master Data'!$C$3:$W$122))-$B111)</f>
        <v>5000</v>
      </c>
      <c r="Q111" s="176" cm="1">
        <f t="array" ref="Q111">10^3*(_xlfn.XLOOKUP(Q$8,'Master Data'!$C$2:$W$2,_xlfn.XLOOKUP($A111,'Master Data'!$B$3:$B$122,'Master Data'!$C$3:$W$122))-$B111)</f>
        <v>5000</v>
      </c>
      <c r="R111" s="176" cm="1">
        <f t="array" ref="R111">10^3*(_xlfn.XLOOKUP(R$8,'Master Data'!$C$2:$W$2,_xlfn.XLOOKUP($A111,'Master Data'!$B$3:$B$122,'Master Data'!$C$3:$W$122))-$B111)</f>
        <v>5000</v>
      </c>
      <c r="S111" s="176" cm="1">
        <f t="array" ref="S111">10^3*(_xlfn.XLOOKUP(S$8,'Master Data'!$C$2:$W$2,_xlfn.XLOOKUP($A111,'Master Data'!$B$3:$B$122,'Master Data'!$C$3:$W$122))-$B111)</f>
        <v>2000</v>
      </c>
      <c r="T111" s="176" cm="1">
        <f t="array" ref="T111">10^3*(_xlfn.XLOOKUP(T$8,'Master Data'!$C$2:$W$2,_xlfn.XLOOKUP($A111,'Master Data'!$B$3:$B$122,'Master Data'!$C$3:$W$122))-$B111)</f>
        <v>5000</v>
      </c>
      <c r="U111" s="176" cm="1">
        <f t="array" ref="U111">10^3*(_xlfn.XLOOKUP(U$8,'Master Data'!$C$2:$W$2,_xlfn.XLOOKUP($A111,'Master Data'!$B$3:$B$122,'Master Data'!$C$3:$W$122))-$B111)</f>
        <v>5000</v>
      </c>
      <c r="V111" s="176" cm="1">
        <f t="array" ref="V111">10^3*(_xlfn.XLOOKUP(V$8,'Master Data'!$C$2:$W$2,_xlfn.XLOOKUP($A111,'Master Data'!$B$3:$B$122,'Master Data'!$C$3:$W$122))-$B111)</f>
        <v>5000</v>
      </c>
      <c r="W111" s="176" cm="1">
        <f t="array" ref="W111">10^3*(_xlfn.XLOOKUP(W$8,'Master Data'!$C$2:$W$2,_xlfn.XLOOKUP($A111,'Master Data'!$B$3:$B$122,'Master Data'!$C$3:$W$122))-$B111)</f>
        <v>2000</v>
      </c>
      <c r="X111" s="176" cm="1">
        <f t="array" ref="X111">10^3*(_xlfn.XLOOKUP(X$8,'Master Data'!$C$2:$W$2,_xlfn.XLOOKUP($A111,'Master Data'!$B$3:$B$122,'Master Data'!$C$3:$W$122))-$B111)</f>
        <v>2000</v>
      </c>
      <c r="Y111" s="177" cm="1">
        <f t="array" ref="Y111">10^3*(_xlfn.XLOOKUP(Y$8,'Master Data'!$C$2:$W$2,_xlfn.XLOOKUP($A111,'Master Data'!$B$3:$B$122,'Master Data'!$C$3:$W$122))-$B111)</f>
        <v>2000</v>
      </c>
      <c r="Z111" s="177" t="e" cm="1">
        <f t="array" ref="Z111">10^3*(_xlfn.XLOOKUP(Z$8,'Master Data'!$C$2:$W$2,_xlfn.XLOOKUP($A111,'Master Data'!$B$3:$B$122,'Master Data'!$C$3:$W$122))-$B111)</f>
        <v>#N/A</v>
      </c>
      <c r="AA111" s="177" t="e" cm="1">
        <f t="array" ref="AA111">10^3*(_xlfn.XLOOKUP(AA$8,'Master Data'!$C$2:$W$2,_xlfn.XLOOKUP($A111,'Master Data'!$B$3:$B$122,'Master Data'!$C$3:$W$122))-$B111)</f>
        <v>#N/A</v>
      </c>
    </row>
    <row r="112" spans="1:27" s="172" customFormat="1" x14ac:dyDescent="0.25">
      <c r="A112" s="173" t="s">
        <v>141</v>
      </c>
      <c r="B112" s="174">
        <v>85</v>
      </c>
      <c r="C112" s="172" t="b">
        <f>ISNUMBER(_xlfn.XMATCH(A112,'Master Data'!$B$3:$B$122))</f>
        <v>1</v>
      </c>
      <c r="E112" s="175" cm="1">
        <f t="array" ref="E112">10^3*(_xlfn.XLOOKUP(E$8,'Master Data'!$C$2:$W$2,_xlfn.XLOOKUP($A112,'Master Data'!$B$3:$B$122,'Master Data'!$C$3:$W$122))-$B112)</f>
        <v>5000</v>
      </c>
      <c r="F112" s="176" cm="1">
        <f t="array" ref="F112">10^3*(_xlfn.XLOOKUP(F$8,'Master Data'!$C$2:$W$2,_xlfn.XLOOKUP($A112,'Master Data'!$B$3:$B$122,'Master Data'!$C$3:$W$122))-$B112)</f>
        <v>5000</v>
      </c>
      <c r="G112" s="176" cm="1">
        <f t="array" ref="G112">10^3*(_xlfn.XLOOKUP(G$8,'Master Data'!$C$2:$W$2,_xlfn.XLOOKUP($A112,'Master Data'!$B$3:$B$122,'Master Data'!$C$3:$W$122))-$B112)</f>
        <v>2000</v>
      </c>
      <c r="H112" s="176" cm="1">
        <f t="array" ref="H112">10^3*(_xlfn.XLOOKUP(H$8,'Master Data'!$C$2:$W$2,_xlfn.XLOOKUP($A112,'Master Data'!$B$3:$B$122,'Master Data'!$C$3:$W$122))-$B112)</f>
        <v>2000</v>
      </c>
      <c r="I112" s="176" cm="1">
        <f t="array" ref="I112">10^3*(_xlfn.XLOOKUP(I$8,'Master Data'!$C$2:$W$2,_xlfn.XLOOKUP($A112,'Master Data'!$B$3:$B$122,'Master Data'!$C$3:$W$122))-$B112)</f>
        <v>2000</v>
      </c>
      <c r="J112" s="176" cm="1">
        <f t="array" ref="J112">10^3*(_xlfn.XLOOKUP(J$8,'Master Data'!$C$2:$W$2,_xlfn.XLOOKUP($A112,'Master Data'!$B$3:$B$122,'Master Data'!$C$3:$W$122))-$B112)</f>
        <v>2000</v>
      </c>
      <c r="K112" s="176" cm="1">
        <f t="array" ref="K112">10^3*(_xlfn.XLOOKUP(K$8,'Master Data'!$C$2:$W$2,_xlfn.XLOOKUP($A112,'Master Data'!$B$3:$B$122,'Master Data'!$C$3:$W$122))-$B112)</f>
        <v>2000</v>
      </c>
      <c r="L112" s="176" cm="1">
        <f t="array" ref="L112">10^3*(_xlfn.XLOOKUP(L$8,'Master Data'!$C$2:$W$2,_xlfn.XLOOKUP($A112,'Master Data'!$B$3:$B$122,'Master Data'!$C$3:$W$122))-$B112)</f>
        <v>2000</v>
      </c>
      <c r="M112" s="176" cm="1">
        <f t="array" ref="M112">10^3*(_xlfn.XLOOKUP(M$8,'Master Data'!$C$2:$W$2,_xlfn.XLOOKUP($A112,'Master Data'!$B$3:$B$122,'Master Data'!$C$3:$W$122))-$B112)</f>
        <v>2000</v>
      </c>
      <c r="N112" s="176" cm="1">
        <f t="array" ref="N112">10^3*(_xlfn.XLOOKUP(N$8,'Master Data'!$C$2:$W$2,_xlfn.XLOOKUP($A112,'Master Data'!$B$3:$B$122,'Master Data'!$C$3:$W$122))-$B112)</f>
        <v>2000</v>
      </c>
      <c r="O112" s="176" cm="1">
        <f t="array" ref="O112">10^3*(_xlfn.XLOOKUP(O$8,'Master Data'!$C$2:$W$2,_xlfn.XLOOKUP($A112,'Master Data'!$B$3:$B$122,'Master Data'!$C$3:$W$122))-$B112)</f>
        <v>2000</v>
      </c>
      <c r="P112" s="176" cm="1">
        <f t="array" ref="P112">10^3*(_xlfn.XLOOKUP(P$8,'Master Data'!$C$2:$W$2,_xlfn.XLOOKUP($A112,'Master Data'!$B$3:$B$122,'Master Data'!$C$3:$W$122))-$B112)</f>
        <v>5000</v>
      </c>
      <c r="Q112" s="176" cm="1">
        <f t="array" ref="Q112">10^3*(_xlfn.XLOOKUP(Q$8,'Master Data'!$C$2:$W$2,_xlfn.XLOOKUP($A112,'Master Data'!$B$3:$B$122,'Master Data'!$C$3:$W$122))-$B112)</f>
        <v>5000</v>
      </c>
      <c r="R112" s="176" cm="1">
        <f t="array" ref="R112">10^3*(_xlfn.XLOOKUP(R$8,'Master Data'!$C$2:$W$2,_xlfn.XLOOKUP($A112,'Master Data'!$B$3:$B$122,'Master Data'!$C$3:$W$122))-$B112)</f>
        <v>5000</v>
      </c>
      <c r="S112" s="176" cm="1">
        <f t="array" ref="S112">10^3*(_xlfn.XLOOKUP(S$8,'Master Data'!$C$2:$W$2,_xlfn.XLOOKUP($A112,'Master Data'!$B$3:$B$122,'Master Data'!$C$3:$W$122))-$B112)</f>
        <v>2000</v>
      </c>
      <c r="T112" s="176" cm="1">
        <f t="array" ref="T112">10^3*(_xlfn.XLOOKUP(T$8,'Master Data'!$C$2:$W$2,_xlfn.XLOOKUP($A112,'Master Data'!$B$3:$B$122,'Master Data'!$C$3:$W$122))-$B112)</f>
        <v>5000</v>
      </c>
      <c r="U112" s="176" cm="1">
        <f t="array" ref="U112">10^3*(_xlfn.XLOOKUP(U$8,'Master Data'!$C$2:$W$2,_xlfn.XLOOKUP($A112,'Master Data'!$B$3:$B$122,'Master Data'!$C$3:$W$122))-$B112)</f>
        <v>5000</v>
      </c>
      <c r="V112" s="176" cm="1">
        <f t="array" ref="V112">10^3*(_xlfn.XLOOKUP(V$8,'Master Data'!$C$2:$W$2,_xlfn.XLOOKUP($A112,'Master Data'!$B$3:$B$122,'Master Data'!$C$3:$W$122))-$B112)</f>
        <v>5000</v>
      </c>
      <c r="W112" s="176" cm="1">
        <f t="array" ref="W112">10^3*(_xlfn.XLOOKUP(W$8,'Master Data'!$C$2:$W$2,_xlfn.XLOOKUP($A112,'Master Data'!$B$3:$B$122,'Master Data'!$C$3:$W$122))-$B112)</f>
        <v>2000</v>
      </c>
      <c r="X112" s="176" cm="1">
        <f t="array" ref="X112">10^3*(_xlfn.XLOOKUP(X$8,'Master Data'!$C$2:$W$2,_xlfn.XLOOKUP($A112,'Master Data'!$B$3:$B$122,'Master Data'!$C$3:$W$122))-$B112)</f>
        <v>2000</v>
      </c>
      <c r="Y112" s="177" cm="1">
        <f t="array" ref="Y112">10^3*(_xlfn.XLOOKUP(Y$8,'Master Data'!$C$2:$W$2,_xlfn.XLOOKUP($A112,'Master Data'!$B$3:$B$122,'Master Data'!$C$3:$W$122))-$B112)</f>
        <v>2000</v>
      </c>
      <c r="Z112" s="177" t="e" cm="1">
        <f t="array" ref="Z112">10^3*(_xlfn.XLOOKUP(Z$8,'Master Data'!$C$2:$W$2,_xlfn.XLOOKUP($A112,'Master Data'!$B$3:$B$122,'Master Data'!$C$3:$W$122))-$B112)</f>
        <v>#N/A</v>
      </c>
      <c r="AA112" s="177" t="e" cm="1">
        <f t="array" ref="AA112">10^3*(_xlfn.XLOOKUP(AA$8,'Master Data'!$C$2:$W$2,_xlfn.XLOOKUP($A112,'Master Data'!$B$3:$B$122,'Master Data'!$C$3:$W$122))-$B112)</f>
        <v>#N/A</v>
      </c>
    </row>
    <row r="113" spans="1:27" s="172" customFormat="1" x14ac:dyDescent="0.25">
      <c r="A113" s="173" t="s">
        <v>45</v>
      </c>
      <c r="B113" s="174">
        <v>85</v>
      </c>
      <c r="C113" s="172" t="b">
        <f>ISNUMBER(_xlfn.XMATCH(A113,'Master Data'!$B$3:$B$122))</f>
        <v>1</v>
      </c>
      <c r="E113" s="175" cm="1">
        <f t="array" ref="E113">10^3*(_xlfn.XLOOKUP(E$8,'Master Data'!$C$2:$W$2,_xlfn.XLOOKUP($A113,'Master Data'!$B$3:$B$122,'Master Data'!$C$3:$W$122))-$B113)</f>
        <v>5000</v>
      </c>
      <c r="F113" s="176" cm="1">
        <f t="array" ref="F113">10^3*(_xlfn.XLOOKUP(F$8,'Master Data'!$C$2:$W$2,_xlfn.XLOOKUP($A113,'Master Data'!$B$3:$B$122,'Master Data'!$C$3:$W$122))-$B113)</f>
        <v>5000</v>
      </c>
      <c r="G113" s="176" cm="1">
        <f t="array" ref="G113">10^3*(_xlfn.XLOOKUP(G$8,'Master Data'!$C$2:$W$2,_xlfn.XLOOKUP($A113,'Master Data'!$B$3:$B$122,'Master Data'!$C$3:$W$122))-$B113)</f>
        <v>2000</v>
      </c>
      <c r="H113" s="176" cm="1">
        <f t="array" ref="H113">10^3*(_xlfn.XLOOKUP(H$8,'Master Data'!$C$2:$W$2,_xlfn.XLOOKUP($A113,'Master Data'!$B$3:$B$122,'Master Data'!$C$3:$W$122))-$B113)</f>
        <v>2000</v>
      </c>
      <c r="I113" s="176" cm="1">
        <f t="array" ref="I113">10^3*(_xlfn.XLOOKUP(I$8,'Master Data'!$C$2:$W$2,_xlfn.XLOOKUP($A113,'Master Data'!$B$3:$B$122,'Master Data'!$C$3:$W$122))-$B113)</f>
        <v>2000</v>
      </c>
      <c r="J113" s="176" cm="1">
        <f t="array" ref="J113">10^3*(_xlfn.XLOOKUP(J$8,'Master Data'!$C$2:$W$2,_xlfn.XLOOKUP($A113,'Master Data'!$B$3:$B$122,'Master Data'!$C$3:$W$122))-$B113)</f>
        <v>2000</v>
      </c>
      <c r="K113" s="176" cm="1">
        <f t="array" ref="K113">10^3*(_xlfn.XLOOKUP(K$8,'Master Data'!$C$2:$W$2,_xlfn.XLOOKUP($A113,'Master Data'!$B$3:$B$122,'Master Data'!$C$3:$W$122))-$B113)</f>
        <v>2000</v>
      </c>
      <c r="L113" s="176" cm="1">
        <f t="array" ref="L113">10^3*(_xlfn.XLOOKUP(L$8,'Master Data'!$C$2:$W$2,_xlfn.XLOOKUP($A113,'Master Data'!$B$3:$B$122,'Master Data'!$C$3:$W$122))-$B113)</f>
        <v>2000</v>
      </c>
      <c r="M113" s="176" cm="1">
        <f t="array" ref="M113">10^3*(_xlfn.XLOOKUP(M$8,'Master Data'!$C$2:$W$2,_xlfn.XLOOKUP($A113,'Master Data'!$B$3:$B$122,'Master Data'!$C$3:$W$122))-$B113)</f>
        <v>2000</v>
      </c>
      <c r="N113" s="176" cm="1">
        <f t="array" ref="N113">10^3*(_xlfn.XLOOKUP(N$8,'Master Data'!$C$2:$W$2,_xlfn.XLOOKUP($A113,'Master Data'!$B$3:$B$122,'Master Data'!$C$3:$W$122))-$B113)</f>
        <v>2000</v>
      </c>
      <c r="O113" s="176" cm="1">
        <f t="array" ref="O113">10^3*(_xlfn.XLOOKUP(O$8,'Master Data'!$C$2:$W$2,_xlfn.XLOOKUP($A113,'Master Data'!$B$3:$B$122,'Master Data'!$C$3:$W$122))-$B113)</f>
        <v>2000</v>
      </c>
      <c r="P113" s="176" cm="1">
        <f t="array" ref="P113">10^3*(_xlfn.XLOOKUP(P$8,'Master Data'!$C$2:$W$2,_xlfn.XLOOKUP($A113,'Master Data'!$B$3:$B$122,'Master Data'!$C$3:$W$122))-$B113)</f>
        <v>5000</v>
      </c>
      <c r="Q113" s="176" cm="1">
        <f t="array" ref="Q113">10^3*(_xlfn.XLOOKUP(Q$8,'Master Data'!$C$2:$W$2,_xlfn.XLOOKUP($A113,'Master Data'!$B$3:$B$122,'Master Data'!$C$3:$W$122))-$B113)</f>
        <v>5000</v>
      </c>
      <c r="R113" s="176" cm="1">
        <f t="array" ref="R113">10^3*(_xlfn.XLOOKUP(R$8,'Master Data'!$C$2:$W$2,_xlfn.XLOOKUP($A113,'Master Data'!$B$3:$B$122,'Master Data'!$C$3:$W$122))-$B113)</f>
        <v>5000</v>
      </c>
      <c r="S113" s="176" cm="1">
        <f t="array" ref="S113">10^3*(_xlfn.XLOOKUP(S$8,'Master Data'!$C$2:$W$2,_xlfn.XLOOKUP($A113,'Master Data'!$B$3:$B$122,'Master Data'!$C$3:$W$122))-$B113)</f>
        <v>2000</v>
      </c>
      <c r="T113" s="176" cm="1">
        <f t="array" ref="T113">10^3*(_xlfn.XLOOKUP(T$8,'Master Data'!$C$2:$W$2,_xlfn.XLOOKUP($A113,'Master Data'!$B$3:$B$122,'Master Data'!$C$3:$W$122))-$B113)</f>
        <v>5000</v>
      </c>
      <c r="U113" s="176" cm="1">
        <f t="array" ref="U113">10^3*(_xlfn.XLOOKUP(U$8,'Master Data'!$C$2:$W$2,_xlfn.XLOOKUP($A113,'Master Data'!$B$3:$B$122,'Master Data'!$C$3:$W$122))-$B113)</f>
        <v>5000</v>
      </c>
      <c r="V113" s="176" cm="1">
        <f t="array" ref="V113">10^3*(_xlfn.XLOOKUP(V$8,'Master Data'!$C$2:$W$2,_xlfn.XLOOKUP($A113,'Master Data'!$B$3:$B$122,'Master Data'!$C$3:$W$122))-$B113)</f>
        <v>5000</v>
      </c>
      <c r="W113" s="176" cm="1">
        <f t="array" ref="W113">10^3*(_xlfn.XLOOKUP(W$8,'Master Data'!$C$2:$W$2,_xlfn.XLOOKUP($A113,'Master Data'!$B$3:$B$122,'Master Data'!$C$3:$W$122))-$B113)</f>
        <v>2000</v>
      </c>
      <c r="X113" s="176" cm="1">
        <f t="array" ref="X113">10^3*(_xlfn.XLOOKUP(X$8,'Master Data'!$C$2:$W$2,_xlfn.XLOOKUP($A113,'Master Data'!$B$3:$B$122,'Master Data'!$C$3:$W$122))-$B113)</f>
        <v>2000</v>
      </c>
      <c r="Y113" s="177" cm="1">
        <f t="array" ref="Y113">10^3*(_xlfn.XLOOKUP(Y$8,'Master Data'!$C$2:$W$2,_xlfn.XLOOKUP($A113,'Master Data'!$B$3:$B$122,'Master Data'!$C$3:$W$122))-$B113)</f>
        <v>2000</v>
      </c>
      <c r="Z113" s="177" t="e" cm="1">
        <f t="array" ref="Z113">10^3*(_xlfn.XLOOKUP(Z$8,'Master Data'!$C$2:$W$2,_xlfn.XLOOKUP($A113,'Master Data'!$B$3:$B$122,'Master Data'!$C$3:$W$122))-$B113)</f>
        <v>#N/A</v>
      </c>
      <c r="AA113" s="177" t="e" cm="1">
        <f t="array" ref="AA113">10^3*(_xlfn.XLOOKUP(AA$8,'Master Data'!$C$2:$W$2,_xlfn.XLOOKUP($A113,'Master Data'!$B$3:$B$122,'Master Data'!$C$3:$W$122))-$B113)</f>
        <v>#N/A</v>
      </c>
    </row>
    <row r="114" spans="1:27" s="172" customFormat="1" x14ac:dyDescent="0.25">
      <c r="A114" s="173" t="s">
        <v>44</v>
      </c>
      <c r="B114" s="174">
        <v>85</v>
      </c>
      <c r="C114" s="172" t="b">
        <f>ISNUMBER(_xlfn.XMATCH(A114,'Master Data'!$B$3:$B$122))</f>
        <v>1</v>
      </c>
      <c r="E114" s="175" cm="1">
        <f t="array" ref="E114">10^3*(_xlfn.XLOOKUP(E$8,'Master Data'!$C$2:$W$2,_xlfn.XLOOKUP($A114,'Master Data'!$B$3:$B$122,'Master Data'!$C$3:$W$122))-$B114)</f>
        <v>5000</v>
      </c>
      <c r="F114" s="176" cm="1">
        <f t="array" ref="F114">10^3*(_xlfn.XLOOKUP(F$8,'Master Data'!$C$2:$W$2,_xlfn.XLOOKUP($A114,'Master Data'!$B$3:$B$122,'Master Data'!$C$3:$W$122))-$B114)</f>
        <v>5000</v>
      </c>
      <c r="G114" s="176" cm="1">
        <f t="array" ref="G114">10^3*(_xlfn.XLOOKUP(G$8,'Master Data'!$C$2:$W$2,_xlfn.XLOOKUP($A114,'Master Data'!$B$3:$B$122,'Master Data'!$C$3:$W$122))-$B114)</f>
        <v>2000</v>
      </c>
      <c r="H114" s="176" cm="1">
        <f t="array" ref="H114">10^3*(_xlfn.XLOOKUP(H$8,'Master Data'!$C$2:$W$2,_xlfn.XLOOKUP($A114,'Master Data'!$B$3:$B$122,'Master Data'!$C$3:$W$122))-$B114)</f>
        <v>2000</v>
      </c>
      <c r="I114" s="176" cm="1">
        <f t="array" ref="I114">10^3*(_xlfn.XLOOKUP(I$8,'Master Data'!$C$2:$W$2,_xlfn.XLOOKUP($A114,'Master Data'!$B$3:$B$122,'Master Data'!$C$3:$W$122))-$B114)</f>
        <v>2000</v>
      </c>
      <c r="J114" s="176" cm="1">
        <f t="array" ref="J114">10^3*(_xlfn.XLOOKUP(J$8,'Master Data'!$C$2:$W$2,_xlfn.XLOOKUP($A114,'Master Data'!$B$3:$B$122,'Master Data'!$C$3:$W$122))-$B114)</f>
        <v>2000</v>
      </c>
      <c r="K114" s="176" cm="1">
        <f t="array" ref="K114">10^3*(_xlfn.XLOOKUP(K$8,'Master Data'!$C$2:$W$2,_xlfn.XLOOKUP($A114,'Master Data'!$B$3:$B$122,'Master Data'!$C$3:$W$122))-$B114)</f>
        <v>2000</v>
      </c>
      <c r="L114" s="176" cm="1">
        <f t="array" ref="L114">10^3*(_xlfn.XLOOKUP(L$8,'Master Data'!$C$2:$W$2,_xlfn.XLOOKUP($A114,'Master Data'!$B$3:$B$122,'Master Data'!$C$3:$W$122))-$B114)</f>
        <v>2000</v>
      </c>
      <c r="M114" s="176" cm="1">
        <f t="array" ref="M114">10^3*(_xlfn.XLOOKUP(M$8,'Master Data'!$C$2:$W$2,_xlfn.XLOOKUP($A114,'Master Data'!$B$3:$B$122,'Master Data'!$C$3:$W$122))-$B114)</f>
        <v>2000</v>
      </c>
      <c r="N114" s="176" cm="1">
        <f t="array" ref="N114">10^3*(_xlfn.XLOOKUP(N$8,'Master Data'!$C$2:$W$2,_xlfn.XLOOKUP($A114,'Master Data'!$B$3:$B$122,'Master Data'!$C$3:$W$122))-$B114)</f>
        <v>2000</v>
      </c>
      <c r="O114" s="176" cm="1">
        <f t="array" ref="O114">10^3*(_xlfn.XLOOKUP(O$8,'Master Data'!$C$2:$W$2,_xlfn.XLOOKUP($A114,'Master Data'!$B$3:$B$122,'Master Data'!$C$3:$W$122))-$B114)</f>
        <v>2000</v>
      </c>
      <c r="P114" s="176" cm="1">
        <f t="array" ref="P114">10^3*(_xlfn.XLOOKUP(P$8,'Master Data'!$C$2:$W$2,_xlfn.XLOOKUP($A114,'Master Data'!$B$3:$B$122,'Master Data'!$C$3:$W$122))-$B114)</f>
        <v>5000</v>
      </c>
      <c r="Q114" s="176" cm="1">
        <f t="array" ref="Q114">10^3*(_xlfn.XLOOKUP(Q$8,'Master Data'!$C$2:$W$2,_xlfn.XLOOKUP($A114,'Master Data'!$B$3:$B$122,'Master Data'!$C$3:$W$122))-$B114)</f>
        <v>5000</v>
      </c>
      <c r="R114" s="176" cm="1">
        <f t="array" ref="R114">10^3*(_xlfn.XLOOKUP(R$8,'Master Data'!$C$2:$W$2,_xlfn.XLOOKUP($A114,'Master Data'!$B$3:$B$122,'Master Data'!$C$3:$W$122))-$B114)</f>
        <v>5000</v>
      </c>
      <c r="S114" s="176" cm="1">
        <f t="array" ref="S114">10^3*(_xlfn.XLOOKUP(S$8,'Master Data'!$C$2:$W$2,_xlfn.XLOOKUP($A114,'Master Data'!$B$3:$B$122,'Master Data'!$C$3:$W$122))-$B114)</f>
        <v>2000</v>
      </c>
      <c r="T114" s="176" cm="1">
        <f t="array" ref="T114">10^3*(_xlfn.XLOOKUP(T$8,'Master Data'!$C$2:$W$2,_xlfn.XLOOKUP($A114,'Master Data'!$B$3:$B$122,'Master Data'!$C$3:$W$122))-$B114)</f>
        <v>5000</v>
      </c>
      <c r="U114" s="176" cm="1">
        <f t="array" ref="U114">10^3*(_xlfn.XLOOKUP(U$8,'Master Data'!$C$2:$W$2,_xlfn.XLOOKUP($A114,'Master Data'!$B$3:$B$122,'Master Data'!$C$3:$W$122))-$B114)</f>
        <v>5000</v>
      </c>
      <c r="V114" s="176" cm="1">
        <f t="array" ref="V114">10^3*(_xlfn.XLOOKUP(V$8,'Master Data'!$C$2:$W$2,_xlfn.XLOOKUP($A114,'Master Data'!$B$3:$B$122,'Master Data'!$C$3:$W$122))-$B114)</f>
        <v>5000</v>
      </c>
      <c r="W114" s="176" cm="1">
        <f t="array" ref="W114">10^3*(_xlfn.XLOOKUP(W$8,'Master Data'!$C$2:$W$2,_xlfn.XLOOKUP($A114,'Master Data'!$B$3:$B$122,'Master Data'!$C$3:$W$122))-$B114)</f>
        <v>2000</v>
      </c>
      <c r="X114" s="176" cm="1">
        <f t="array" ref="X114">10^3*(_xlfn.XLOOKUP(X$8,'Master Data'!$C$2:$W$2,_xlfn.XLOOKUP($A114,'Master Data'!$B$3:$B$122,'Master Data'!$C$3:$W$122))-$B114)</f>
        <v>2000</v>
      </c>
      <c r="Y114" s="177" cm="1">
        <f t="array" ref="Y114">10^3*(_xlfn.XLOOKUP(Y$8,'Master Data'!$C$2:$W$2,_xlfn.XLOOKUP($A114,'Master Data'!$B$3:$B$122,'Master Data'!$C$3:$W$122))-$B114)</f>
        <v>2000</v>
      </c>
      <c r="Z114" s="177" t="e" cm="1">
        <f t="array" ref="Z114">10^3*(_xlfn.XLOOKUP(Z$8,'Master Data'!$C$2:$W$2,_xlfn.XLOOKUP($A114,'Master Data'!$B$3:$B$122,'Master Data'!$C$3:$W$122))-$B114)</f>
        <v>#N/A</v>
      </c>
      <c r="AA114" s="177" t="e" cm="1">
        <f t="array" ref="AA114">10^3*(_xlfn.XLOOKUP(AA$8,'Master Data'!$C$2:$W$2,_xlfn.XLOOKUP($A114,'Master Data'!$B$3:$B$122,'Master Data'!$C$3:$W$122))-$B114)</f>
        <v>#N/A</v>
      </c>
    </row>
    <row r="115" spans="1:27" s="172" customFormat="1" x14ac:dyDescent="0.25">
      <c r="A115" s="173" t="s">
        <v>142</v>
      </c>
      <c r="B115" s="174">
        <v>88</v>
      </c>
      <c r="C115" s="172" t="b">
        <f>ISNUMBER(_xlfn.XMATCH(A115,'Master Data'!$B$3:$B$122))</f>
        <v>1</v>
      </c>
      <c r="E115" s="175" cm="1">
        <f t="array" ref="E115">10^3*(_xlfn.XLOOKUP(E$8,'Master Data'!$C$2:$W$2,_xlfn.XLOOKUP($A115,'Master Data'!$B$3:$B$122,'Master Data'!$C$3:$W$122))-$B115)</f>
        <v>2000</v>
      </c>
      <c r="F115" s="176" cm="1">
        <f t="array" ref="F115">10^3*(_xlfn.XLOOKUP(F$8,'Master Data'!$C$2:$W$2,_xlfn.XLOOKUP($A115,'Master Data'!$B$3:$B$122,'Master Data'!$C$3:$W$122))-$B115)</f>
        <v>2000</v>
      </c>
      <c r="G115" s="176" cm="1">
        <f t="array" ref="G115">10^3*(_xlfn.XLOOKUP(G$8,'Master Data'!$C$2:$W$2,_xlfn.XLOOKUP($A115,'Master Data'!$B$3:$B$122,'Master Data'!$C$3:$W$122))-$B115)</f>
        <v>-1000</v>
      </c>
      <c r="H115" s="176" cm="1">
        <f t="array" ref="H115">10^3*(_xlfn.XLOOKUP(H$8,'Master Data'!$C$2:$W$2,_xlfn.XLOOKUP($A115,'Master Data'!$B$3:$B$122,'Master Data'!$C$3:$W$122))-$B115)</f>
        <v>-1000</v>
      </c>
      <c r="I115" s="176" cm="1">
        <f t="array" ref="I115">10^3*(_xlfn.XLOOKUP(I$8,'Master Data'!$C$2:$W$2,_xlfn.XLOOKUP($A115,'Master Data'!$B$3:$B$122,'Master Data'!$C$3:$W$122))-$B115)</f>
        <v>-1000</v>
      </c>
      <c r="J115" s="176" cm="1">
        <f t="array" ref="J115">10^3*(_xlfn.XLOOKUP(J$8,'Master Data'!$C$2:$W$2,_xlfn.XLOOKUP($A115,'Master Data'!$B$3:$B$122,'Master Data'!$C$3:$W$122))-$B115)</f>
        <v>-1000</v>
      </c>
      <c r="K115" s="176" cm="1">
        <f t="array" ref="K115">10^3*(_xlfn.XLOOKUP(K$8,'Master Data'!$C$2:$W$2,_xlfn.XLOOKUP($A115,'Master Data'!$B$3:$B$122,'Master Data'!$C$3:$W$122))-$B115)</f>
        <v>-1000</v>
      </c>
      <c r="L115" s="176" cm="1">
        <f t="array" ref="L115">10^3*(_xlfn.XLOOKUP(L$8,'Master Data'!$C$2:$W$2,_xlfn.XLOOKUP($A115,'Master Data'!$B$3:$B$122,'Master Data'!$C$3:$W$122))-$B115)</f>
        <v>-1000</v>
      </c>
      <c r="M115" s="176" cm="1">
        <f t="array" ref="M115">10^3*(_xlfn.XLOOKUP(M$8,'Master Data'!$C$2:$W$2,_xlfn.XLOOKUP($A115,'Master Data'!$B$3:$B$122,'Master Data'!$C$3:$W$122))-$B115)</f>
        <v>-1000</v>
      </c>
      <c r="N115" s="176" cm="1">
        <f t="array" ref="N115">10^3*(_xlfn.XLOOKUP(N$8,'Master Data'!$C$2:$W$2,_xlfn.XLOOKUP($A115,'Master Data'!$B$3:$B$122,'Master Data'!$C$3:$W$122))-$B115)</f>
        <v>-1000</v>
      </c>
      <c r="O115" s="176" cm="1">
        <f t="array" ref="O115">10^3*(_xlfn.XLOOKUP(O$8,'Master Data'!$C$2:$W$2,_xlfn.XLOOKUP($A115,'Master Data'!$B$3:$B$122,'Master Data'!$C$3:$W$122))-$B115)</f>
        <v>-1000</v>
      </c>
      <c r="P115" s="176" cm="1">
        <f t="array" ref="P115">10^3*(_xlfn.XLOOKUP(P$8,'Master Data'!$C$2:$W$2,_xlfn.XLOOKUP($A115,'Master Data'!$B$3:$B$122,'Master Data'!$C$3:$W$122))-$B115)</f>
        <v>2000</v>
      </c>
      <c r="Q115" s="176" cm="1">
        <f t="array" ref="Q115">10^3*(_xlfn.XLOOKUP(Q$8,'Master Data'!$C$2:$W$2,_xlfn.XLOOKUP($A115,'Master Data'!$B$3:$B$122,'Master Data'!$C$3:$W$122))-$B115)</f>
        <v>2000</v>
      </c>
      <c r="R115" s="176" cm="1">
        <f t="array" ref="R115">10^3*(_xlfn.XLOOKUP(R$8,'Master Data'!$C$2:$W$2,_xlfn.XLOOKUP($A115,'Master Data'!$B$3:$B$122,'Master Data'!$C$3:$W$122))-$B115)</f>
        <v>2000</v>
      </c>
      <c r="S115" s="176" cm="1">
        <f t="array" ref="S115">10^3*(_xlfn.XLOOKUP(S$8,'Master Data'!$C$2:$W$2,_xlfn.XLOOKUP($A115,'Master Data'!$B$3:$B$122,'Master Data'!$C$3:$W$122))-$B115)</f>
        <v>-1000</v>
      </c>
      <c r="T115" s="176" cm="1">
        <f t="array" ref="T115">10^3*(_xlfn.XLOOKUP(T$8,'Master Data'!$C$2:$W$2,_xlfn.XLOOKUP($A115,'Master Data'!$B$3:$B$122,'Master Data'!$C$3:$W$122))-$B115)</f>
        <v>2000</v>
      </c>
      <c r="U115" s="176" cm="1">
        <f t="array" ref="U115">10^3*(_xlfn.XLOOKUP(U$8,'Master Data'!$C$2:$W$2,_xlfn.XLOOKUP($A115,'Master Data'!$B$3:$B$122,'Master Data'!$C$3:$W$122))-$B115)</f>
        <v>2000</v>
      </c>
      <c r="V115" s="176" cm="1">
        <f t="array" ref="V115">10^3*(_xlfn.XLOOKUP(V$8,'Master Data'!$C$2:$W$2,_xlfn.XLOOKUP($A115,'Master Data'!$B$3:$B$122,'Master Data'!$C$3:$W$122))-$B115)</f>
        <v>2000</v>
      </c>
      <c r="W115" s="176" cm="1">
        <f t="array" ref="W115">10^3*(_xlfn.XLOOKUP(W$8,'Master Data'!$C$2:$W$2,_xlfn.XLOOKUP($A115,'Master Data'!$B$3:$B$122,'Master Data'!$C$3:$W$122))-$B115)</f>
        <v>-1000</v>
      </c>
      <c r="X115" s="176" cm="1">
        <f t="array" ref="X115">10^3*(_xlfn.XLOOKUP(X$8,'Master Data'!$C$2:$W$2,_xlfn.XLOOKUP($A115,'Master Data'!$B$3:$B$122,'Master Data'!$C$3:$W$122))-$B115)</f>
        <v>-1000</v>
      </c>
      <c r="Y115" s="177" cm="1">
        <f t="array" ref="Y115">10^3*(_xlfn.XLOOKUP(Y$8,'Master Data'!$C$2:$W$2,_xlfn.XLOOKUP($A115,'Master Data'!$B$3:$B$122,'Master Data'!$C$3:$W$122))-$B115)</f>
        <v>-1000</v>
      </c>
      <c r="Z115" s="177" t="e" cm="1">
        <f t="array" ref="Z115">10^3*(_xlfn.XLOOKUP(Z$8,'Master Data'!$C$2:$W$2,_xlfn.XLOOKUP($A115,'Master Data'!$B$3:$B$122,'Master Data'!$C$3:$W$122))-$B115)</f>
        <v>#N/A</v>
      </c>
      <c r="AA115" s="177" t="e" cm="1">
        <f t="array" ref="AA115">10^3*(_xlfn.XLOOKUP(AA$8,'Master Data'!$C$2:$W$2,_xlfn.XLOOKUP($A115,'Master Data'!$B$3:$B$122,'Master Data'!$C$3:$W$122))-$B115)</f>
        <v>#N/A</v>
      </c>
    </row>
    <row r="116" spans="1:27" s="172" customFormat="1" x14ac:dyDescent="0.25">
      <c r="A116" s="173" t="s">
        <v>48</v>
      </c>
      <c r="B116" s="174">
        <v>88</v>
      </c>
      <c r="C116" s="172" t="b">
        <f>ISNUMBER(_xlfn.XMATCH(A116,'Master Data'!$B$3:$B$122))</f>
        <v>1</v>
      </c>
      <c r="E116" s="175" cm="1">
        <f t="array" ref="E116">10^3*(_xlfn.XLOOKUP(E$8,'Master Data'!$C$2:$W$2,_xlfn.XLOOKUP($A116,'Master Data'!$B$3:$B$122,'Master Data'!$C$3:$W$122))-$B116)</f>
        <v>7000</v>
      </c>
      <c r="F116" s="176" cm="1">
        <f t="array" ref="F116">10^3*(_xlfn.XLOOKUP(F$8,'Master Data'!$C$2:$W$2,_xlfn.XLOOKUP($A116,'Master Data'!$B$3:$B$122,'Master Data'!$C$3:$W$122))-$B116)</f>
        <v>7000</v>
      </c>
      <c r="G116" s="176" cm="1">
        <f t="array" ref="G116">10^3*(_xlfn.XLOOKUP(G$8,'Master Data'!$C$2:$W$2,_xlfn.XLOOKUP($A116,'Master Data'!$B$3:$B$122,'Master Data'!$C$3:$W$122))-$B116)</f>
        <v>7000</v>
      </c>
      <c r="H116" s="176" cm="1">
        <f t="array" ref="H116">10^3*(_xlfn.XLOOKUP(H$8,'Master Data'!$C$2:$W$2,_xlfn.XLOOKUP($A116,'Master Data'!$B$3:$B$122,'Master Data'!$C$3:$W$122))-$B116)</f>
        <v>7000</v>
      </c>
      <c r="I116" s="176" cm="1">
        <f t="array" ref="I116">10^3*(_xlfn.XLOOKUP(I$8,'Master Data'!$C$2:$W$2,_xlfn.XLOOKUP($A116,'Master Data'!$B$3:$B$122,'Master Data'!$C$3:$W$122))-$B116)</f>
        <v>7000</v>
      </c>
      <c r="J116" s="176" cm="1">
        <f t="array" ref="J116">10^3*(_xlfn.XLOOKUP(J$8,'Master Data'!$C$2:$W$2,_xlfn.XLOOKUP($A116,'Master Data'!$B$3:$B$122,'Master Data'!$C$3:$W$122))-$B116)</f>
        <v>7000</v>
      </c>
      <c r="K116" s="176" cm="1">
        <f t="array" ref="K116">10^3*(_xlfn.XLOOKUP(K$8,'Master Data'!$C$2:$W$2,_xlfn.XLOOKUP($A116,'Master Data'!$B$3:$B$122,'Master Data'!$C$3:$W$122))-$B116)</f>
        <v>7000</v>
      </c>
      <c r="L116" s="176" cm="1">
        <f t="array" ref="L116">10^3*(_xlfn.XLOOKUP(L$8,'Master Data'!$C$2:$W$2,_xlfn.XLOOKUP($A116,'Master Data'!$B$3:$B$122,'Master Data'!$C$3:$W$122))-$B116)</f>
        <v>7000</v>
      </c>
      <c r="M116" s="176" cm="1">
        <f t="array" ref="M116">10^3*(_xlfn.XLOOKUP(M$8,'Master Data'!$C$2:$W$2,_xlfn.XLOOKUP($A116,'Master Data'!$B$3:$B$122,'Master Data'!$C$3:$W$122))-$B116)</f>
        <v>7000</v>
      </c>
      <c r="N116" s="176" cm="1">
        <f t="array" ref="N116">10^3*(_xlfn.XLOOKUP(N$8,'Master Data'!$C$2:$W$2,_xlfn.XLOOKUP($A116,'Master Data'!$B$3:$B$122,'Master Data'!$C$3:$W$122))-$B116)</f>
        <v>7000</v>
      </c>
      <c r="O116" s="176" cm="1">
        <f t="array" ref="O116">10^3*(_xlfn.XLOOKUP(O$8,'Master Data'!$C$2:$W$2,_xlfn.XLOOKUP($A116,'Master Data'!$B$3:$B$122,'Master Data'!$C$3:$W$122))-$B116)</f>
        <v>7000</v>
      </c>
      <c r="P116" s="176" cm="1">
        <f t="array" ref="P116">10^3*(_xlfn.XLOOKUP(P$8,'Master Data'!$C$2:$W$2,_xlfn.XLOOKUP($A116,'Master Data'!$B$3:$B$122,'Master Data'!$C$3:$W$122))-$B116)</f>
        <v>7000</v>
      </c>
      <c r="Q116" s="176" cm="1">
        <f t="array" ref="Q116">10^3*(_xlfn.XLOOKUP(Q$8,'Master Data'!$C$2:$W$2,_xlfn.XLOOKUP($A116,'Master Data'!$B$3:$B$122,'Master Data'!$C$3:$W$122))-$B116)</f>
        <v>7000</v>
      </c>
      <c r="R116" s="176" cm="1">
        <f t="array" ref="R116">10^3*(_xlfn.XLOOKUP(R$8,'Master Data'!$C$2:$W$2,_xlfn.XLOOKUP($A116,'Master Data'!$B$3:$B$122,'Master Data'!$C$3:$W$122))-$B116)</f>
        <v>9000</v>
      </c>
      <c r="S116" s="176" cm="1">
        <f t="array" ref="S116">10^3*(_xlfn.XLOOKUP(S$8,'Master Data'!$C$2:$W$2,_xlfn.XLOOKUP($A116,'Master Data'!$B$3:$B$122,'Master Data'!$C$3:$W$122))-$B116)</f>
        <v>7000</v>
      </c>
      <c r="T116" s="176" cm="1">
        <f t="array" ref="T116">10^3*(_xlfn.XLOOKUP(T$8,'Master Data'!$C$2:$W$2,_xlfn.XLOOKUP($A116,'Master Data'!$B$3:$B$122,'Master Data'!$C$3:$W$122))-$B116)</f>
        <v>7000</v>
      </c>
      <c r="U116" s="176" cm="1">
        <f t="array" ref="U116">10^3*(_xlfn.XLOOKUP(U$8,'Master Data'!$C$2:$W$2,_xlfn.XLOOKUP($A116,'Master Data'!$B$3:$B$122,'Master Data'!$C$3:$W$122))-$B116)</f>
        <v>7000</v>
      </c>
      <c r="V116" s="176" cm="1">
        <f t="array" ref="V116">10^3*(_xlfn.XLOOKUP(V$8,'Master Data'!$C$2:$W$2,_xlfn.XLOOKUP($A116,'Master Data'!$B$3:$B$122,'Master Data'!$C$3:$W$122))-$B116)</f>
        <v>7000</v>
      </c>
      <c r="W116" s="176" cm="1">
        <f t="array" ref="W116">10^3*(_xlfn.XLOOKUP(W$8,'Master Data'!$C$2:$W$2,_xlfn.XLOOKUP($A116,'Master Data'!$B$3:$B$122,'Master Data'!$C$3:$W$122))-$B116)</f>
        <v>7000</v>
      </c>
      <c r="X116" s="176" cm="1">
        <f t="array" ref="X116">10^3*(_xlfn.XLOOKUP(X$8,'Master Data'!$C$2:$W$2,_xlfn.XLOOKUP($A116,'Master Data'!$B$3:$B$122,'Master Data'!$C$3:$W$122))-$B116)</f>
        <v>5000</v>
      </c>
      <c r="Y116" s="177" cm="1">
        <f t="array" ref="Y116">10^3*(_xlfn.XLOOKUP(Y$8,'Master Data'!$C$2:$W$2,_xlfn.XLOOKUP($A116,'Master Data'!$B$3:$B$122,'Master Data'!$C$3:$W$122))-$B116)</f>
        <v>7000</v>
      </c>
      <c r="Z116" s="177" t="e" cm="1">
        <f t="array" ref="Z116">10^3*(_xlfn.XLOOKUP(Z$8,'Master Data'!$C$2:$W$2,_xlfn.XLOOKUP($A116,'Master Data'!$B$3:$B$122,'Master Data'!$C$3:$W$122))-$B116)</f>
        <v>#N/A</v>
      </c>
      <c r="AA116" s="177" t="e" cm="1">
        <f t="array" ref="AA116">10^3*(_xlfn.XLOOKUP(AA$8,'Master Data'!$C$2:$W$2,_xlfn.XLOOKUP($A116,'Master Data'!$B$3:$B$122,'Master Data'!$C$3:$W$122))-$B116)</f>
        <v>#N/A</v>
      </c>
    </row>
    <row r="117" spans="1:27" s="172" customFormat="1" x14ac:dyDescent="0.25">
      <c r="A117" s="173" t="s">
        <v>53</v>
      </c>
      <c r="B117" s="174">
        <v>63</v>
      </c>
      <c r="C117" s="172" t="b">
        <f>ISNUMBER(_xlfn.XMATCH(A117,'Master Data'!$B$3:$B$122))</f>
        <v>1</v>
      </c>
      <c r="E117" s="175" cm="1">
        <f t="array" ref="E117">10^3*(_xlfn.XLOOKUP(E$8,'Master Data'!$C$2:$W$2,_xlfn.XLOOKUP($A117,'Master Data'!$B$3:$B$122,'Master Data'!$C$3:$W$122))-$B117)</f>
        <v>32000</v>
      </c>
      <c r="F117" s="176" cm="1">
        <f t="array" ref="F117">10^3*(_xlfn.XLOOKUP(F$8,'Master Data'!$C$2:$W$2,_xlfn.XLOOKUP($A117,'Master Data'!$B$3:$B$122,'Master Data'!$C$3:$W$122))-$B117)</f>
        <v>32000</v>
      </c>
      <c r="G117" s="176" cm="1">
        <f t="array" ref="G117">10^3*(_xlfn.XLOOKUP(G$8,'Master Data'!$C$2:$W$2,_xlfn.XLOOKUP($A117,'Master Data'!$B$3:$B$122,'Master Data'!$C$3:$W$122))-$B117)</f>
        <v>32000</v>
      </c>
      <c r="H117" s="176" cm="1">
        <f t="array" ref="H117">10^3*(_xlfn.XLOOKUP(H$8,'Master Data'!$C$2:$W$2,_xlfn.XLOOKUP($A117,'Master Data'!$B$3:$B$122,'Master Data'!$C$3:$W$122))-$B117)</f>
        <v>32000</v>
      </c>
      <c r="I117" s="176" cm="1">
        <f t="array" ref="I117">10^3*(_xlfn.XLOOKUP(I$8,'Master Data'!$C$2:$W$2,_xlfn.XLOOKUP($A117,'Master Data'!$B$3:$B$122,'Master Data'!$C$3:$W$122))-$B117)</f>
        <v>32000</v>
      </c>
      <c r="J117" s="176" cm="1">
        <f t="array" ref="J117">10^3*(_xlfn.XLOOKUP(J$8,'Master Data'!$C$2:$W$2,_xlfn.XLOOKUP($A117,'Master Data'!$B$3:$B$122,'Master Data'!$C$3:$W$122))-$B117)</f>
        <v>32000</v>
      </c>
      <c r="K117" s="176" cm="1">
        <f t="array" ref="K117">10^3*(_xlfn.XLOOKUP(K$8,'Master Data'!$C$2:$W$2,_xlfn.XLOOKUP($A117,'Master Data'!$B$3:$B$122,'Master Data'!$C$3:$W$122))-$B117)</f>
        <v>32000</v>
      </c>
      <c r="L117" s="176" cm="1">
        <f t="array" ref="L117">10^3*(_xlfn.XLOOKUP(L$8,'Master Data'!$C$2:$W$2,_xlfn.XLOOKUP($A117,'Master Data'!$B$3:$B$122,'Master Data'!$C$3:$W$122))-$B117)</f>
        <v>32000</v>
      </c>
      <c r="M117" s="176" cm="1">
        <f t="array" ref="M117">10^3*(_xlfn.XLOOKUP(M$8,'Master Data'!$C$2:$W$2,_xlfn.XLOOKUP($A117,'Master Data'!$B$3:$B$122,'Master Data'!$C$3:$W$122))-$B117)</f>
        <v>32000</v>
      </c>
      <c r="N117" s="176" cm="1">
        <f t="array" ref="N117">10^3*(_xlfn.XLOOKUP(N$8,'Master Data'!$C$2:$W$2,_xlfn.XLOOKUP($A117,'Master Data'!$B$3:$B$122,'Master Data'!$C$3:$W$122))-$B117)</f>
        <v>32000</v>
      </c>
      <c r="O117" s="176" cm="1">
        <f t="array" ref="O117">10^3*(_xlfn.XLOOKUP(O$8,'Master Data'!$C$2:$W$2,_xlfn.XLOOKUP($A117,'Master Data'!$B$3:$B$122,'Master Data'!$C$3:$W$122))-$B117)</f>
        <v>32000</v>
      </c>
      <c r="P117" s="176" cm="1">
        <f t="array" ref="P117">10^3*(_xlfn.XLOOKUP(P$8,'Master Data'!$C$2:$W$2,_xlfn.XLOOKUP($A117,'Master Data'!$B$3:$B$122,'Master Data'!$C$3:$W$122))-$B117)</f>
        <v>32000</v>
      </c>
      <c r="Q117" s="176" cm="1">
        <f t="array" ref="Q117">10^3*(_xlfn.XLOOKUP(Q$8,'Master Data'!$C$2:$W$2,_xlfn.XLOOKUP($A117,'Master Data'!$B$3:$B$122,'Master Data'!$C$3:$W$122))-$B117)</f>
        <v>32000</v>
      </c>
      <c r="R117" s="176" cm="1">
        <f t="array" ref="R117">10^3*(_xlfn.XLOOKUP(R$8,'Master Data'!$C$2:$W$2,_xlfn.XLOOKUP($A117,'Master Data'!$B$3:$B$122,'Master Data'!$C$3:$W$122))-$B117)</f>
        <v>34000</v>
      </c>
      <c r="S117" s="176" cm="1">
        <f t="array" ref="S117">10^3*(_xlfn.XLOOKUP(S$8,'Master Data'!$C$2:$W$2,_xlfn.XLOOKUP($A117,'Master Data'!$B$3:$B$122,'Master Data'!$C$3:$W$122))-$B117)</f>
        <v>32000</v>
      </c>
      <c r="T117" s="176" cm="1">
        <f t="array" ref="T117">10^3*(_xlfn.XLOOKUP(T$8,'Master Data'!$C$2:$W$2,_xlfn.XLOOKUP($A117,'Master Data'!$B$3:$B$122,'Master Data'!$C$3:$W$122))-$B117)</f>
        <v>32000</v>
      </c>
      <c r="U117" s="176" cm="1">
        <f t="array" ref="U117">10^3*(_xlfn.XLOOKUP(U$8,'Master Data'!$C$2:$W$2,_xlfn.XLOOKUP($A117,'Master Data'!$B$3:$B$122,'Master Data'!$C$3:$W$122))-$B117)</f>
        <v>32000</v>
      </c>
      <c r="V117" s="176" cm="1">
        <f t="array" ref="V117">10^3*(_xlfn.XLOOKUP(V$8,'Master Data'!$C$2:$W$2,_xlfn.XLOOKUP($A117,'Master Data'!$B$3:$B$122,'Master Data'!$C$3:$W$122))-$B117)</f>
        <v>32000</v>
      </c>
      <c r="W117" s="176" cm="1">
        <f t="array" ref="W117">10^3*(_xlfn.XLOOKUP(W$8,'Master Data'!$C$2:$W$2,_xlfn.XLOOKUP($A117,'Master Data'!$B$3:$B$122,'Master Data'!$C$3:$W$122))-$B117)</f>
        <v>32000</v>
      </c>
      <c r="X117" s="176" cm="1">
        <f t="array" ref="X117">10^3*(_xlfn.XLOOKUP(X$8,'Master Data'!$C$2:$W$2,_xlfn.XLOOKUP($A117,'Master Data'!$B$3:$B$122,'Master Data'!$C$3:$W$122))-$B117)</f>
        <v>32000</v>
      </c>
      <c r="Y117" s="177" cm="1">
        <f t="array" ref="Y117">10^3*(_xlfn.XLOOKUP(Y$8,'Master Data'!$C$2:$W$2,_xlfn.XLOOKUP($A117,'Master Data'!$B$3:$B$122,'Master Data'!$C$3:$W$122))-$B117)</f>
        <v>32000</v>
      </c>
      <c r="Z117" s="177" t="e" cm="1">
        <f t="array" ref="Z117">10^3*(_xlfn.XLOOKUP(Z$8,'Master Data'!$C$2:$W$2,_xlfn.XLOOKUP($A117,'Master Data'!$B$3:$B$122,'Master Data'!$C$3:$W$122))-$B117)</f>
        <v>#N/A</v>
      </c>
      <c r="AA117" s="177" t="e" cm="1">
        <f t="array" ref="AA117">10^3*(_xlfn.XLOOKUP(AA$8,'Master Data'!$C$2:$W$2,_xlfn.XLOOKUP($A117,'Master Data'!$B$3:$B$122,'Master Data'!$C$3:$W$122))-$B117)</f>
        <v>#N/A</v>
      </c>
    </row>
    <row r="118" spans="1:27" s="172" customFormat="1" x14ac:dyDescent="0.25">
      <c r="A118" s="173" t="s">
        <v>21</v>
      </c>
      <c r="B118" s="174">
        <v>65</v>
      </c>
      <c r="C118" s="172" t="b">
        <f>ISNUMBER(_xlfn.XMATCH(A118,'Master Data'!$B$3:$B$122))</f>
        <v>1</v>
      </c>
      <c r="E118" s="175" cm="1">
        <f t="array" ref="E118">10^3*(_xlfn.XLOOKUP(E$8,'Master Data'!$C$2:$W$2,_xlfn.XLOOKUP($A118,'Master Data'!$B$3:$B$122,'Master Data'!$C$3:$W$122))-$B118)</f>
        <v>10000</v>
      </c>
      <c r="F118" s="176" cm="1">
        <f t="array" ref="F118">10^3*(_xlfn.XLOOKUP(F$8,'Master Data'!$C$2:$W$2,_xlfn.XLOOKUP($A118,'Master Data'!$B$3:$B$122,'Master Data'!$C$3:$W$122))-$B118)</f>
        <v>10000</v>
      </c>
      <c r="G118" s="176" cm="1">
        <f t="array" ref="G118">10^3*(_xlfn.XLOOKUP(G$8,'Master Data'!$C$2:$W$2,_xlfn.XLOOKUP($A118,'Master Data'!$B$3:$B$122,'Master Data'!$C$3:$W$122))-$B118)</f>
        <v>5000</v>
      </c>
      <c r="H118" s="176" cm="1">
        <f t="array" ref="H118">10^3*(_xlfn.XLOOKUP(H$8,'Master Data'!$C$2:$W$2,_xlfn.XLOOKUP($A118,'Master Data'!$B$3:$B$122,'Master Data'!$C$3:$W$122))-$B118)</f>
        <v>5000</v>
      </c>
      <c r="I118" s="176" cm="1">
        <f t="array" ref="I118">10^3*(_xlfn.XLOOKUP(I$8,'Master Data'!$C$2:$W$2,_xlfn.XLOOKUP($A118,'Master Data'!$B$3:$B$122,'Master Data'!$C$3:$W$122))-$B118)</f>
        <v>5000</v>
      </c>
      <c r="J118" s="176" cm="1">
        <f t="array" ref="J118">10^3*(_xlfn.XLOOKUP(J$8,'Master Data'!$C$2:$W$2,_xlfn.XLOOKUP($A118,'Master Data'!$B$3:$B$122,'Master Data'!$C$3:$W$122))-$B118)</f>
        <v>5000</v>
      </c>
      <c r="K118" s="176" cm="1">
        <f t="array" ref="K118">10^3*(_xlfn.XLOOKUP(K$8,'Master Data'!$C$2:$W$2,_xlfn.XLOOKUP($A118,'Master Data'!$B$3:$B$122,'Master Data'!$C$3:$W$122))-$B118)</f>
        <v>10000</v>
      </c>
      <c r="L118" s="176" cm="1">
        <f t="array" ref="L118">10^3*(_xlfn.XLOOKUP(L$8,'Master Data'!$C$2:$W$2,_xlfn.XLOOKUP($A118,'Master Data'!$B$3:$B$122,'Master Data'!$C$3:$W$122))-$B118)</f>
        <v>10000</v>
      </c>
      <c r="M118" s="176" cm="1">
        <f t="array" ref="M118">10^3*(_xlfn.XLOOKUP(M$8,'Master Data'!$C$2:$W$2,_xlfn.XLOOKUP($A118,'Master Data'!$B$3:$B$122,'Master Data'!$C$3:$W$122))-$B118)</f>
        <v>5000</v>
      </c>
      <c r="N118" s="176" cm="1">
        <f t="array" ref="N118">10^3*(_xlfn.XLOOKUP(N$8,'Master Data'!$C$2:$W$2,_xlfn.XLOOKUP($A118,'Master Data'!$B$3:$B$122,'Master Data'!$C$3:$W$122))-$B118)</f>
        <v>5000</v>
      </c>
      <c r="O118" s="176" cm="1">
        <f t="array" ref="O118">10^3*(_xlfn.XLOOKUP(O$8,'Master Data'!$C$2:$W$2,_xlfn.XLOOKUP($A118,'Master Data'!$B$3:$B$122,'Master Data'!$C$3:$W$122))-$B118)</f>
        <v>5000</v>
      </c>
      <c r="P118" s="176" cm="1">
        <f t="array" ref="P118">10^3*(_xlfn.XLOOKUP(P$8,'Master Data'!$C$2:$W$2,_xlfn.XLOOKUP($A118,'Master Data'!$B$3:$B$122,'Master Data'!$C$3:$W$122))-$B118)</f>
        <v>10000</v>
      </c>
      <c r="Q118" s="176" cm="1">
        <f t="array" ref="Q118">10^3*(_xlfn.XLOOKUP(Q$8,'Master Data'!$C$2:$W$2,_xlfn.XLOOKUP($A118,'Master Data'!$B$3:$B$122,'Master Data'!$C$3:$W$122))-$B118)</f>
        <v>10000</v>
      </c>
      <c r="R118" s="176" cm="1">
        <f t="array" ref="R118">10^3*(_xlfn.XLOOKUP(R$8,'Master Data'!$C$2:$W$2,_xlfn.XLOOKUP($A118,'Master Data'!$B$3:$B$122,'Master Data'!$C$3:$W$122))-$B118)</f>
        <v>15000</v>
      </c>
      <c r="S118" s="176" cm="1">
        <f t="array" ref="S118">10^3*(_xlfn.XLOOKUP(S$8,'Master Data'!$C$2:$W$2,_xlfn.XLOOKUP($A118,'Master Data'!$B$3:$B$122,'Master Data'!$C$3:$W$122))-$B118)</f>
        <v>5000</v>
      </c>
      <c r="T118" s="176" cm="1">
        <f t="array" ref="T118">10^3*(_xlfn.XLOOKUP(T$8,'Master Data'!$C$2:$W$2,_xlfn.XLOOKUP($A118,'Master Data'!$B$3:$B$122,'Master Data'!$C$3:$W$122))-$B118)</f>
        <v>10000</v>
      </c>
      <c r="U118" s="176" cm="1">
        <f t="array" ref="U118">10^3*(_xlfn.XLOOKUP(U$8,'Master Data'!$C$2:$W$2,_xlfn.XLOOKUP($A118,'Master Data'!$B$3:$B$122,'Master Data'!$C$3:$W$122))-$B118)</f>
        <v>10000</v>
      </c>
      <c r="V118" s="176" cm="1">
        <f t="array" ref="V118">10^3*(_xlfn.XLOOKUP(V$8,'Master Data'!$C$2:$W$2,_xlfn.XLOOKUP($A118,'Master Data'!$B$3:$B$122,'Master Data'!$C$3:$W$122))-$B118)</f>
        <v>10000</v>
      </c>
      <c r="W118" s="176" cm="1">
        <f t="array" ref="W118">10^3*(_xlfn.XLOOKUP(W$8,'Master Data'!$C$2:$W$2,_xlfn.XLOOKUP($A118,'Master Data'!$B$3:$B$122,'Master Data'!$C$3:$W$122))-$B118)</f>
        <v>5000</v>
      </c>
      <c r="X118" s="176" cm="1">
        <f t="array" ref="X118">10^3*(_xlfn.XLOOKUP(X$8,'Master Data'!$C$2:$W$2,_xlfn.XLOOKUP($A118,'Master Data'!$B$3:$B$122,'Master Data'!$C$3:$W$122))-$B118)</f>
        <v>5000</v>
      </c>
      <c r="Y118" s="177" cm="1">
        <f t="array" ref="Y118">10^3*(_xlfn.XLOOKUP(Y$8,'Master Data'!$C$2:$W$2,_xlfn.XLOOKUP($A118,'Master Data'!$B$3:$B$122,'Master Data'!$C$3:$W$122))-$B118)</f>
        <v>8000</v>
      </c>
      <c r="Z118" s="177" t="e" cm="1">
        <f t="array" ref="Z118">10^3*(_xlfn.XLOOKUP(Z$8,'Master Data'!$C$2:$W$2,_xlfn.XLOOKUP($A118,'Master Data'!$B$3:$B$122,'Master Data'!$C$3:$W$122))-$B118)</f>
        <v>#N/A</v>
      </c>
      <c r="AA118" s="177" t="e" cm="1">
        <f t="array" ref="AA118">10^3*(_xlfn.XLOOKUP(AA$8,'Master Data'!$C$2:$W$2,_xlfn.XLOOKUP($A118,'Master Data'!$B$3:$B$122,'Master Data'!$C$3:$W$122))-$B118)</f>
        <v>#N/A</v>
      </c>
    </row>
    <row r="119" spans="1:27" s="172" customFormat="1" x14ac:dyDescent="0.25">
      <c r="A119" s="173" t="s">
        <v>61</v>
      </c>
      <c r="B119" s="174">
        <v>65</v>
      </c>
      <c r="C119" s="172" t="b">
        <f>ISNUMBER(_xlfn.XMATCH(A119,'Master Data'!$B$3:$B$122))</f>
        <v>1</v>
      </c>
      <c r="E119" s="175" cm="1">
        <f t="array" ref="E119">10^3*(_xlfn.XLOOKUP(E$8,'Master Data'!$C$2:$W$2,_xlfn.XLOOKUP($A119,'Master Data'!$B$3:$B$122,'Master Data'!$C$3:$W$122))-$B119)</f>
        <v>8000</v>
      </c>
      <c r="F119" s="176" cm="1">
        <f t="array" ref="F119">10^3*(_xlfn.XLOOKUP(F$8,'Master Data'!$C$2:$W$2,_xlfn.XLOOKUP($A119,'Master Data'!$B$3:$B$122,'Master Data'!$C$3:$W$122))-$B119)</f>
        <v>8000</v>
      </c>
      <c r="G119" s="176" cm="1">
        <f t="array" ref="G119">10^3*(_xlfn.XLOOKUP(G$8,'Master Data'!$C$2:$W$2,_xlfn.XLOOKUP($A119,'Master Data'!$B$3:$B$122,'Master Data'!$C$3:$W$122))-$B119)</f>
        <v>5000</v>
      </c>
      <c r="H119" s="176" cm="1">
        <f t="array" ref="H119">10^3*(_xlfn.XLOOKUP(H$8,'Master Data'!$C$2:$W$2,_xlfn.XLOOKUP($A119,'Master Data'!$B$3:$B$122,'Master Data'!$C$3:$W$122))-$B119)</f>
        <v>5000</v>
      </c>
      <c r="I119" s="176" cm="1">
        <f t="array" ref="I119">10^3*(_xlfn.XLOOKUP(I$8,'Master Data'!$C$2:$W$2,_xlfn.XLOOKUP($A119,'Master Data'!$B$3:$B$122,'Master Data'!$C$3:$W$122))-$B119)</f>
        <v>5000</v>
      </c>
      <c r="J119" s="176" cm="1">
        <f t="array" ref="J119">10^3*(_xlfn.XLOOKUP(J$8,'Master Data'!$C$2:$W$2,_xlfn.XLOOKUP($A119,'Master Data'!$B$3:$B$122,'Master Data'!$C$3:$W$122))-$B119)</f>
        <v>5000</v>
      </c>
      <c r="K119" s="176" cm="1">
        <f t="array" ref="K119">10^3*(_xlfn.XLOOKUP(K$8,'Master Data'!$C$2:$W$2,_xlfn.XLOOKUP($A119,'Master Data'!$B$3:$B$122,'Master Data'!$C$3:$W$122))-$B119)</f>
        <v>5000</v>
      </c>
      <c r="L119" s="176" cm="1">
        <f t="array" ref="L119">10^3*(_xlfn.XLOOKUP(L$8,'Master Data'!$C$2:$W$2,_xlfn.XLOOKUP($A119,'Master Data'!$B$3:$B$122,'Master Data'!$C$3:$W$122))-$B119)</f>
        <v>5000</v>
      </c>
      <c r="M119" s="176" cm="1">
        <f t="array" ref="M119">10^3*(_xlfn.XLOOKUP(M$8,'Master Data'!$C$2:$W$2,_xlfn.XLOOKUP($A119,'Master Data'!$B$3:$B$122,'Master Data'!$C$3:$W$122))-$B119)</f>
        <v>5000</v>
      </c>
      <c r="N119" s="176" cm="1">
        <f t="array" ref="N119">10^3*(_xlfn.XLOOKUP(N$8,'Master Data'!$C$2:$W$2,_xlfn.XLOOKUP($A119,'Master Data'!$B$3:$B$122,'Master Data'!$C$3:$W$122))-$B119)</f>
        <v>5000</v>
      </c>
      <c r="O119" s="176" cm="1">
        <f t="array" ref="O119">10^3*(_xlfn.XLOOKUP(O$8,'Master Data'!$C$2:$W$2,_xlfn.XLOOKUP($A119,'Master Data'!$B$3:$B$122,'Master Data'!$C$3:$W$122))-$B119)</f>
        <v>5000</v>
      </c>
      <c r="P119" s="176" cm="1">
        <f t="array" ref="P119">10^3*(_xlfn.XLOOKUP(P$8,'Master Data'!$C$2:$W$2,_xlfn.XLOOKUP($A119,'Master Data'!$B$3:$B$122,'Master Data'!$C$3:$W$122))-$B119)</f>
        <v>8000</v>
      </c>
      <c r="Q119" s="176" cm="1">
        <f t="array" ref="Q119">10^3*(_xlfn.XLOOKUP(Q$8,'Master Data'!$C$2:$W$2,_xlfn.XLOOKUP($A119,'Master Data'!$B$3:$B$122,'Master Data'!$C$3:$W$122))-$B119)</f>
        <v>8000</v>
      </c>
      <c r="R119" s="176" cm="1">
        <f t="array" ref="R119">10^3*(_xlfn.XLOOKUP(R$8,'Master Data'!$C$2:$W$2,_xlfn.XLOOKUP($A119,'Master Data'!$B$3:$B$122,'Master Data'!$C$3:$W$122))-$B119)</f>
        <v>8000</v>
      </c>
      <c r="S119" s="176" cm="1">
        <f t="array" ref="S119">10^3*(_xlfn.XLOOKUP(S$8,'Master Data'!$C$2:$W$2,_xlfn.XLOOKUP($A119,'Master Data'!$B$3:$B$122,'Master Data'!$C$3:$W$122))-$B119)</f>
        <v>5000</v>
      </c>
      <c r="T119" s="176" cm="1">
        <f t="array" ref="T119">10^3*(_xlfn.XLOOKUP(T$8,'Master Data'!$C$2:$W$2,_xlfn.XLOOKUP($A119,'Master Data'!$B$3:$B$122,'Master Data'!$C$3:$W$122))-$B119)</f>
        <v>8000</v>
      </c>
      <c r="U119" s="176" cm="1">
        <f t="array" ref="U119">10^3*(_xlfn.XLOOKUP(U$8,'Master Data'!$C$2:$W$2,_xlfn.XLOOKUP($A119,'Master Data'!$B$3:$B$122,'Master Data'!$C$3:$W$122))-$B119)</f>
        <v>8000</v>
      </c>
      <c r="V119" s="176" cm="1">
        <f t="array" ref="V119">10^3*(_xlfn.XLOOKUP(V$8,'Master Data'!$C$2:$W$2,_xlfn.XLOOKUP($A119,'Master Data'!$B$3:$B$122,'Master Data'!$C$3:$W$122))-$B119)</f>
        <v>8000</v>
      </c>
      <c r="W119" s="176" cm="1">
        <f t="array" ref="W119">10^3*(_xlfn.XLOOKUP(W$8,'Master Data'!$C$2:$W$2,_xlfn.XLOOKUP($A119,'Master Data'!$B$3:$B$122,'Master Data'!$C$3:$W$122))-$B119)</f>
        <v>5000</v>
      </c>
      <c r="X119" s="176" cm="1">
        <f t="array" ref="X119">10^3*(_xlfn.XLOOKUP(X$8,'Master Data'!$C$2:$W$2,_xlfn.XLOOKUP($A119,'Master Data'!$B$3:$B$122,'Master Data'!$C$3:$W$122))-$B119)</f>
        <v>5000</v>
      </c>
      <c r="Y119" s="177" cm="1">
        <f t="array" ref="Y119">10^3*(_xlfn.XLOOKUP(Y$8,'Master Data'!$C$2:$W$2,_xlfn.XLOOKUP($A119,'Master Data'!$B$3:$B$122,'Master Data'!$C$3:$W$122))-$B119)</f>
        <v>5000</v>
      </c>
      <c r="Z119" s="177" t="e" cm="1">
        <f t="array" ref="Z119">10^3*(_xlfn.XLOOKUP(Z$8,'Master Data'!$C$2:$W$2,_xlfn.XLOOKUP($A119,'Master Data'!$B$3:$B$122,'Master Data'!$C$3:$W$122))-$B119)</f>
        <v>#N/A</v>
      </c>
      <c r="AA119" s="177" t="e" cm="1">
        <f t="array" ref="AA119">10^3*(_xlfn.XLOOKUP(AA$8,'Master Data'!$C$2:$W$2,_xlfn.XLOOKUP($A119,'Master Data'!$B$3:$B$122,'Master Data'!$C$3:$W$122))-$B119)</f>
        <v>#N/A</v>
      </c>
    </row>
    <row r="120" spans="1:27" s="172" customFormat="1" x14ac:dyDescent="0.25">
      <c r="A120" s="173" t="s">
        <v>143</v>
      </c>
      <c r="B120" s="174">
        <v>55</v>
      </c>
      <c r="C120" s="172" t="b">
        <f>ISNUMBER(_xlfn.XMATCH(A120,'Master Data'!$B$3:$B$122))</f>
        <v>1</v>
      </c>
      <c r="E120" s="175" cm="1">
        <f t="array" ref="E120">10^3*(_xlfn.XLOOKUP(E$8,'Master Data'!$C$2:$W$2,_xlfn.XLOOKUP($A120,'Master Data'!$B$3:$B$122,'Master Data'!$C$3:$W$122))-$B120)</f>
        <v>15000</v>
      </c>
      <c r="F120" s="176" cm="1">
        <f t="array" ref="F120">10^3*(_xlfn.XLOOKUP(F$8,'Master Data'!$C$2:$W$2,_xlfn.XLOOKUP($A120,'Master Data'!$B$3:$B$122,'Master Data'!$C$3:$W$122))-$B120)</f>
        <v>15000</v>
      </c>
      <c r="G120" s="176" cm="1">
        <f t="array" ref="G120">10^3*(_xlfn.XLOOKUP(G$8,'Master Data'!$C$2:$W$2,_xlfn.XLOOKUP($A120,'Master Data'!$B$3:$B$122,'Master Data'!$C$3:$W$122))-$B120)</f>
        <v>15000</v>
      </c>
      <c r="H120" s="176" cm="1">
        <f t="array" ref="H120">10^3*(_xlfn.XLOOKUP(H$8,'Master Data'!$C$2:$W$2,_xlfn.XLOOKUP($A120,'Master Data'!$B$3:$B$122,'Master Data'!$C$3:$W$122))-$B120)</f>
        <v>15000</v>
      </c>
      <c r="I120" s="176" cm="1">
        <f t="array" ref="I120">10^3*(_xlfn.XLOOKUP(I$8,'Master Data'!$C$2:$W$2,_xlfn.XLOOKUP($A120,'Master Data'!$B$3:$B$122,'Master Data'!$C$3:$W$122))-$B120)</f>
        <v>15000</v>
      </c>
      <c r="J120" s="176" cm="1">
        <f t="array" ref="J120">10^3*(_xlfn.XLOOKUP(J$8,'Master Data'!$C$2:$W$2,_xlfn.XLOOKUP($A120,'Master Data'!$B$3:$B$122,'Master Data'!$C$3:$W$122))-$B120)</f>
        <v>15000</v>
      </c>
      <c r="K120" s="176" cm="1">
        <f t="array" ref="K120">10^3*(_xlfn.XLOOKUP(K$8,'Master Data'!$C$2:$W$2,_xlfn.XLOOKUP($A120,'Master Data'!$B$3:$B$122,'Master Data'!$C$3:$W$122))-$B120)</f>
        <v>15000</v>
      </c>
      <c r="L120" s="176" cm="1">
        <f t="array" ref="L120">10^3*(_xlfn.XLOOKUP(L$8,'Master Data'!$C$2:$W$2,_xlfn.XLOOKUP($A120,'Master Data'!$B$3:$B$122,'Master Data'!$C$3:$W$122))-$B120)</f>
        <v>15000</v>
      </c>
      <c r="M120" s="176" cm="1">
        <f t="array" ref="M120">10^3*(_xlfn.XLOOKUP(M$8,'Master Data'!$C$2:$W$2,_xlfn.XLOOKUP($A120,'Master Data'!$B$3:$B$122,'Master Data'!$C$3:$W$122))-$B120)</f>
        <v>15000</v>
      </c>
      <c r="N120" s="176" cm="1">
        <f t="array" ref="N120">10^3*(_xlfn.XLOOKUP(N$8,'Master Data'!$C$2:$W$2,_xlfn.XLOOKUP($A120,'Master Data'!$B$3:$B$122,'Master Data'!$C$3:$W$122))-$B120)</f>
        <v>15000</v>
      </c>
      <c r="O120" s="176" cm="1">
        <f t="array" ref="O120">10^3*(_xlfn.XLOOKUP(O$8,'Master Data'!$C$2:$W$2,_xlfn.XLOOKUP($A120,'Master Data'!$B$3:$B$122,'Master Data'!$C$3:$W$122))-$B120)</f>
        <v>15000</v>
      </c>
      <c r="P120" s="176" cm="1">
        <f t="array" ref="P120">10^3*(_xlfn.XLOOKUP(P$8,'Master Data'!$C$2:$W$2,_xlfn.XLOOKUP($A120,'Master Data'!$B$3:$B$122,'Master Data'!$C$3:$W$122))-$B120)</f>
        <v>15000</v>
      </c>
      <c r="Q120" s="176" cm="1">
        <f t="array" ref="Q120">10^3*(_xlfn.XLOOKUP(Q$8,'Master Data'!$C$2:$W$2,_xlfn.XLOOKUP($A120,'Master Data'!$B$3:$B$122,'Master Data'!$C$3:$W$122))-$B120)</f>
        <v>15000</v>
      </c>
      <c r="R120" s="176" cm="1">
        <f t="array" ref="R120">10^3*(_xlfn.XLOOKUP(R$8,'Master Data'!$C$2:$W$2,_xlfn.XLOOKUP($A120,'Master Data'!$B$3:$B$122,'Master Data'!$C$3:$W$122))-$B120)</f>
        <v>15000</v>
      </c>
      <c r="S120" s="176" cm="1">
        <f t="array" ref="S120">10^3*(_xlfn.XLOOKUP(S$8,'Master Data'!$C$2:$W$2,_xlfn.XLOOKUP($A120,'Master Data'!$B$3:$B$122,'Master Data'!$C$3:$W$122))-$B120)</f>
        <v>15000</v>
      </c>
      <c r="T120" s="176" cm="1">
        <f t="array" ref="T120">10^3*(_xlfn.XLOOKUP(T$8,'Master Data'!$C$2:$W$2,_xlfn.XLOOKUP($A120,'Master Data'!$B$3:$B$122,'Master Data'!$C$3:$W$122))-$B120)</f>
        <v>15000</v>
      </c>
      <c r="U120" s="176" cm="1">
        <f t="array" ref="U120">10^3*(_xlfn.XLOOKUP(U$8,'Master Data'!$C$2:$W$2,_xlfn.XLOOKUP($A120,'Master Data'!$B$3:$B$122,'Master Data'!$C$3:$W$122))-$B120)</f>
        <v>15000</v>
      </c>
      <c r="V120" s="176" cm="1">
        <f t="array" ref="V120">10^3*(_xlfn.XLOOKUP(V$8,'Master Data'!$C$2:$W$2,_xlfn.XLOOKUP($A120,'Master Data'!$B$3:$B$122,'Master Data'!$C$3:$W$122))-$B120)</f>
        <v>15000</v>
      </c>
      <c r="W120" s="176" cm="1">
        <f t="array" ref="W120">10^3*(_xlfn.XLOOKUP(W$8,'Master Data'!$C$2:$W$2,_xlfn.XLOOKUP($A120,'Master Data'!$B$3:$B$122,'Master Data'!$C$3:$W$122))-$B120)</f>
        <v>15000</v>
      </c>
      <c r="X120" s="176" cm="1">
        <f t="array" ref="X120">10^3*(_xlfn.XLOOKUP(X$8,'Master Data'!$C$2:$W$2,_xlfn.XLOOKUP($A120,'Master Data'!$B$3:$B$122,'Master Data'!$C$3:$W$122))-$B120)</f>
        <v>15000</v>
      </c>
      <c r="Y120" s="177" cm="1">
        <f t="array" ref="Y120">10^3*(_xlfn.XLOOKUP(Y$8,'Master Data'!$C$2:$W$2,_xlfn.XLOOKUP($A120,'Master Data'!$B$3:$B$122,'Master Data'!$C$3:$W$122))-$B120)</f>
        <v>15000</v>
      </c>
      <c r="Z120" s="177" t="e" cm="1">
        <f t="array" ref="Z120">10^3*(_xlfn.XLOOKUP(Z$8,'Master Data'!$C$2:$W$2,_xlfn.XLOOKUP($A120,'Master Data'!$B$3:$B$122,'Master Data'!$C$3:$W$122))-$B120)</f>
        <v>#N/A</v>
      </c>
      <c r="AA120" s="177" t="e" cm="1">
        <f t="array" ref="AA120">10^3*(_xlfn.XLOOKUP(AA$8,'Master Data'!$C$2:$W$2,_xlfn.XLOOKUP($A120,'Master Data'!$B$3:$B$122,'Master Data'!$C$3:$W$122))-$B120)</f>
        <v>#N/A</v>
      </c>
    </row>
    <row r="121" spans="1:27" x14ac:dyDescent="0.25">
      <c r="A121" s="101" t="s">
        <v>36</v>
      </c>
      <c r="B121" s="155">
        <v>70</v>
      </c>
      <c r="C121" t="b">
        <f>ISNUMBER(_xlfn.XMATCH(A121,'Master Data'!$B$3:$B$122))</f>
        <v>1</v>
      </c>
      <c r="E121" s="85" cm="1">
        <f t="array" ref="E121">10^3*(_xlfn.XLOOKUP(E$8,'Master Data'!$C$2:$W$2,_xlfn.XLOOKUP($A121,'Master Data'!$B$3:$B$122,'Master Data'!$C$3:$W$122))-$B121)</f>
        <v>-3000</v>
      </c>
      <c r="F121" s="86" cm="1">
        <f t="array" ref="F121">10^3*(_xlfn.XLOOKUP(F$8,'Master Data'!$C$2:$W$2,_xlfn.XLOOKUP($A121,'Master Data'!$B$3:$B$122,'Master Data'!$C$3:$W$122))-$B121)</f>
        <v>-3000</v>
      </c>
      <c r="G121" s="86" cm="1">
        <f t="array" ref="G121">10^3*(_xlfn.XLOOKUP(G$8,'Master Data'!$C$2:$W$2,_xlfn.XLOOKUP($A121,'Master Data'!$B$3:$B$122,'Master Data'!$C$3:$W$122))-$B121)</f>
        <v>-7000</v>
      </c>
      <c r="H121" s="86" cm="1">
        <f t="array" ref="H121">10^3*(_xlfn.XLOOKUP(H$8,'Master Data'!$C$2:$W$2,_xlfn.XLOOKUP($A121,'Master Data'!$B$3:$B$122,'Master Data'!$C$3:$W$122))-$B121)</f>
        <v>-7000</v>
      </c>
      <c r="I121" s="86" cm="1">
        <f t="array" ref="I121">10^3*(_xlfn.XLOOKUP(I$8,'Master Data'!$C$2:$W$2,_xlfn.XLOOKUP($A121,'Master Data'!$B$3:$B$122,'Master Data'!$C$3:$W$122))-$B121)</f>
        <v>-7000</v>
      </c>
      <c r="J121" s="86" cm="1">
        <f t="array" ref="J121">10^3*(_xlfn.XLOOKUP(J$8,'Master Data'!$C$2:$W$2,_xlfn.XLOOKUP($A121,'Master Data'!$B$3:$B$122,'Master Data'!$C$3:$W$122))-$B121)</f>
        <v>-7000</v>
      </c>
      <c r="K121" s="86" cm="1">
        <f t="array" ref="K121">10^3*(_xlfn.XLOOKUP(K$8,'Master Data'!$C$2:$W$2,_xlfn.XLOOKUP($A121,'Master Data'!$B$3:$B$122,'Master Data'!$C$3:$W$122))-$B121)</f>
        <v>-7000</v>
      </c>
      <c r="L121" s="86" cm="1">
        <f t="array" ref="L121">10^3*(_xlfn.XLOOKUP(L$8,'Master Data'!$C$2:$W$2,_xlfn.XLOOKUP($A121,'Master Data'!$B$3:$B$122,'Master Data'!$C$3:$W$122))-$B121)</f>
        <v>-7000</v>
      </c>
      <c r="M121" s="86" cm="1">
        <f t="array" ref="M121">10^3*(_xlfn.XLOOKUP(M$8,'Master Data'!$C$2:$W$2,_xlfn.XLOOKUP($A121,'Master Data'!$B$3:$B$122,'Master Data'!$C$3:$W$122))-$B121)</f>
        <v>-7000</v>
      </c>
      <c r="N121" s="86" cm="1">
        <f t="array" ref="N121">10^3*(_xlfn.XLOOKUP(N$8,'Master Data'!$C$2:$W$2,_xlfn.XLOOKUP($A121,'Master Data'!$B$3:$B$122,'Master Data'!$C$3:$W$122))-$B121)</f>
        <v>-7000</v>
      </c>
      <c r="O121" s="86" cm="1">
        <f t="array" ref="O121">10^3*(_xlfn.XLOOKUP(O$8,'Master Data'!$C$2:$W$2,_xlfn.XLOOKUP($A121,'Master Data'!$B$3:$B$122,'Master Data'!$C$3:$W$122))-$B121)</f>
        <v>-7000</v>
      </c>
      <c r="P121" s="86" cm="1">
        <f t="array" ref="P121">10^3*(_xlfn.XLOOKUP(P$8,'Master Data'!$C$2:$W$2,_xlfn.XLOOKUP($A121,'Master Data'!$B$3:$B$122,'Master Data'!$C$3:$W$122))-$B121)</f>
        <v>-3000</v>
      </c>
      <c r="Q121" s="86" cm="1">
        <f t="array" ref="Q121">10^3*(_xlfn.XLOOKUP(Q$8,'Master Data'!$C$2:$W$2,_xlfn.XLOOKUP($A121,'Master Data'!$B$3:$B$122,'Master Data'!$C$3:$W$122))-$B121)</f>
        <v>-3000</v>
      </c>
      <c r="R121" s="86" cm="1">
        <f t="array" ref="R121">10^3*(_xlfn.XLOOKUP(R$8,'Master Data'!$C$2:$W$2,_xlfn.XLOOKUP($A121,'Master Data'!$B$3:$B$122,'Master Data'!$C$3:$W$122))-$B121)</f>
        <v>-3000</v>
      </c>
      <c r="S121" s="86" cm="1">
        <f t="array" ref="S121">10^3*(_xlfn.XLOOKUP(S$8,'Master Data'!$C$2:$W$2,_xlfn.XLOOKUP($A121,'Master Data'!$B$3:$B$122,'Master Data'!$C$3:$W$122))-$B121)</f>
        <v>-7000</v>
      </c>
      <c r="T121" s="86" cm="1">
        <f t="array" ref="T121">10^3*(_xlfn.XLOOKUP(T$8,'Master Data'!$C$2:$W$2,_xlfn.XLOOKUP($A121,'Master Data'!$B$3:$B$122,'Master Data'!$C$3:$W$122))-$B121)</f>
        <v>-3000</v>
      </c>
      <c r="U121" s="86" cm="1">
        <f t="array" ref="U121">10^3*(_xlfn.XLOOKUP(U$8,'Master Data'!$C$2:$W$2,_xlfn.XLOOKUP($A121,'Master Data'!$B$3:$B$122,'Master Data'!$C$3:$W$122))-$B121)</f>
        <v>-3000</v>
      </c>
      <c r="V121" s="86" cm="1">
        <f t="array" ref="V121">10^3*(_xlfn.XLOOKUP(V$8,'Master Data'!$C$2:$W$2,_xlfn.XLOOKUP($A121,'Master Data'!$B$3:$B$122,'Master Data'!$C$3:$W$122))-$B121)</f>
        <v>-5000</v>
      </c>
      <c r="W121" s="86" cm="1">
        <f t="array" ref="W121">10^3*(_xlfn.XLOOKUP(W$8,'Master Data'!$C$2:$W$2,_xlfn.XLOOKUP($A121,'Master Data'!$B$3:$B$122,'Master Data'!$C$3:$W$122))-$B121)</f>
        <v>-7000</v>
      </c>
      <c r="X121" s="86" cm="1">
        <f t="array" ref="X121">10^3*(_xlfn.XLOOKUP(X$8,'Master Data'!$C$2:$W$2,_xlfn.XLOOKUP($A121,'Master Data'!$B$3:$B$122,'Master Data'!$C$3:$W$122))-$B121)</f>
        <v>-7000</v>
      </c>
      <c r="Y121" s="87" cm="1">
        <f t="array" ref="Y121">10^3*(_xlfn.XLOOKUP(Y$8,'Master Data'!$C$2:$W$2,_xlfn.XLOOKUP($A121,'Master Data'!$B$3:$B$122,'Master Data'!$C$3:$W$122))-$B121)</f>
        <v>-7000</v>
      </c>
      <c r="Z121" s="87" t="e" cm="1">
        <f t="array" ref="Z121">10^3*(_xlfn.XLOOKUP(Z$8,'Master Data'!$C$2:$W$2,_xlfn.XLOOKUP($A121,'Master Data'!$B$3:$B$122,'Master Data'!$C$3:$W$122))-$B121)</f>
        <v>#N/A</v>
      </c>
      <c r="AA121" s="87" t="e" cm="1">
        <f t="array" ref="AA121">10^3*(_xlfn.XLOOKUP(AA$8,'Master Data'!$C$2:$W$2,_xlfn.XLOOKUP($A121,'Master Data'!$B$3:$B$122,'Master Data'!$C$3:$W$122))-$B121)</f>
        <v>#N/A</v>
      </c>
    </row>
    <row r="122" spans="1:27" x14ac:dyDescent="0.25">
      <c r="A122" s="101" t="s">
        <v>144</v>
      </c>
      <c r="B122" s="155">
        <v>60</v>
      </c>
      <c r="C122" t="b">
        <f>ISNUMBER(_xlfn.XMATCH(A122,'Master Data'!$B$3:$B$122))</f>
        <v>1</v>
      </c>
      <c r="E122" s="85" cm="1">
        <f t="array" ref="E122">10^3*(_xlfn.XLOOKUP(E$8,'Master Data'!$C$2:$W$2,_xlfn.XLOOKUP($A122,'Master Data'!$B$3:$B$122,'Master Data'!$C$3:$W$122))-$B122)</f>
        <v>20000</v>
      </c>
      <c r="F122" s="86" cm="1">
        <f t="array" ref="F122">10^3*(_xlfn.XLOOKUP(F$8,'Master Data'!$C$2:$W$2,_xlfn.XLOOKUP($A122,'Master Data'!$B$3:$B$122,'Master Data'!$C$3:$W$122))-$B122)</f>
        <v>20000</v>
      </c>
      <c r="G122" s="86" cm="1">
        <f t="array" ref="G122">10^3*(_xlfn.XLOOKUP(G$8,'Master Data'!$C$2:$W$2,_xlfn.XLOOKUP($A122,'Master Data'!$B$3:$B$122,'Master Data'!$C$3:$W$122))-$B122)</f>
        <v>17000</v>
      </c>
      <c r="H122" s="86" cm="1">
        <f t="array" ref="H122">10^3*(_xlfn.XLOOKUP(H$8,'Master Data'!$C$2:$W$2,_xlfn.XLOOKUP($A122,'Master Data'!$B$3:$B$122,'Master Data'!$C$3:$W$122))-$B122)</f>
        <v>17000</v>
      </c>
      <c r="I122" s="86" cm="1">
        <f t="array" ref="I122">10^3*(_xlfn.XLOOKUP(I$8,'Master Data'!$C$2:$W$2,_xlfn.XLOOKUP($A122,'Master Data'!$B$3:$B$122,'Master Data'!$C$3:$W$122))-$B122)</f>
        <v>17000</v>
      </c>
      <c r="J122" s="86" cm="1">
        <f t="array" ref="J122">10^3*(_xlfn.XLOOKUP(J$8,'Master Data'!$C$2:$W$2,_xlfn.XLOOKUP($A122,'Master Data'!$B$3:$B$122,'Master Data'!$C$3:$W$122))-$B122)</f>
        <v>17000</v>
      </c>
      <c r="K122" s="86" cm="1">
        <f t="array" ref="K122">10^3*(_xlfn.XLOOKUP(K$8,'Master Data'!$C$2:$W$2,_xlfn.XLOOKUP($A122,'Master Data'!$B$3:$B$122,'Master Data'!$C$3:$W$122))-$B122)</f>
        <v>17000</v>
      </c>
      <c r="L122" s="86" cm="1">
        <f t="array" ref="L122">10^3*(_xlfn.XLOOKUP(L$8,'Master Data'!$C$2:$W$2,_xlfn.XLOOKUP($A122,'Master Data'!$B$3:$B$122,'Master Data'!$C$3:$W$122))-$B122)</f>
        <v>17000</v>
      </c>
      <c r="M122" s="86" cm="1">
        <f t="array" ref="M122">10^3*(_xlfn.XLOOKUP(M$8,'Master Data'!$C$2:$W$2,_xlfn.XLOOKUP($A122,'Master Data'!$B$3:$B$122,'Master Data'!$C$3:$W$122))-$B122)</f>
        <v>17000</v>
      </c>
      <c r="N122" s="86" cm="1">
        <f t="array" ref="N122">10^3*(_xlfn.XLOOKUP(N$8,'Master Data'!$C$2:$W$2,_xlfn.XLOOKUP($A122,'Master Data'!$B$3:$B$122,'Master Data'!$C$3:$W$122))-$B122)</f>
        <v>17000</v>
      </c>
      <c r="O122" s="86" cm="1">
        <f t="array" ref="O122">10^3*(_xlfn.XLOOKUP(O$8,'Master Data'!$C$2:$W$2,_xlfn.XLOOKUP($A122,'Master Data'!$B$3:$B$122,'Master Data'!$C$3:$W$122))-$B122)</f>
        <v>17000</v>
      </c>
      <c r="P122" s="86" cm="1">
        <f t="array" ref="P122">10^3*(_xlfn.XLOOKUP(P$8,'Master Data'!$C$2:$W$2,_xlfn.XLOOKUP($A122,'Master Data'!$B$3:$B$122,'Master Data'!$C$3:$W$122))-$B122)</f>
        <v>20000</v>
      </c>
      <c r="Q122" s="86" cm="1">
        <f t="array" ref="Q122">10^3*(_xlfn.XLOOKUP(Q$8,'Master Data'!$C$2:$W$2,_xlfn.XLOOKUP($A122,'Master Data'!$B$3:$B$122,'Master Data'!$C$3:$W$122))-$B122)</f>
        <v>20000</v>
      </c>
      <c r="R122" s="86" cm="1">
        <f t="array" ref="R122">10^3*(_xlfn.XLOOKUP(R$8,'Master Data'!$C$2:$W$2,_xlfn.XLOOKUP($A122,'Master Data'!$B$3:$B$122,'Master Data'!$C$3:$W$122))-$B122)</f>
        <v>20000</v>
      </c>
      <c r="S122" s="86" cm="1">
        <f t="array" ref="S122">10^3*(_xlfn.XLOOKUP(S$8,'Master Data'!$C$2:$W$2,_xlfn.XLOOKUP($A122,'Master Data'!$B$3:$B$122,'Master Data'!$C$3:$W$122))-$B122)</f>
        <v>17000</v>
      </c>
      <c r="T122" s="86" cm="1">
        <f t="array" ref="T122">10^3*(_xlfn.XLOOKUP(T$8,'Master Data'!$C$2:$W$2,_xlfn.XLOOKUP($A122,'Master Data'!$B$3:$B$122,'Master Data'!$C$3:$W$122))-$B122)</f>
        <v>20000</v>
      </c>
      <c r="U122" s="86" cm="1">
        <f t="array" ref="U122">10^3*(_xlfn.XLOOKUP(U$8,'Master Data'!$C$2:$W$2,_xlfn.XLOOKUP($A122,'Master Data'!$B$3:$B$122,'Master Data'!$C$3:$W$122))-$B122)</f>
        <v>20000</v>
      </c>
      <c r="V122" s="86" cm="1">
        <f t="array" ref="V122">10^3*(_xlfn.XLOOKUP(V$8,'Master Data'!$C$2:$W$2,_xlfn.XLOOKUP($A122,'Master Data'!$B$3:$B$122,'Master Data'!$C$3:$W$122))-$B122)</f>
        <v>20000</v>
      </c>
      <c r="W122" s="86" cm="1">
        <f t="array" ref="W122">10^3*(_xlfn.XLOOKUP(W$8,'Master Data'!$C$2:$W$2,_xlfn.XLOOKUP($A122,'Master Data'!$B$3:$B$122,'Master Data'!$C$3:$W$122))-$B122)</f>
        <v>17000</v>
      </c>
      <c r="X122" s="86" cm="1">
        <f t="array" ref="X122">10^3*(_xlfn.XLOOKUP(X$8,'Master Data'!$C$2:$W$2,_xlfn.XLOOKUP($A122,'Master Data'!$B$3:$B$122,'Master Data'!$C$3:$W$122))-$B122)</f>
        <v>17000</v>
      </c>
      <c r="Y122" s="87" cm="1">
        <f t="array" ref="Y122">10^3*(_xlfn.XLOOKUP(Y$8,'Master Data'!$C$2:$W$2,_xlfn.XLOOKUP($A122,'Master Data'!$B$3:$B$122,'Master Data'!$C$3:$W$122))-$B122)</f>
        <v>17000</v>
      </c>
      <c r="Z122" s="87" t="e" cm="1">
        <f t="array" ref="Z122">10^3*(_xlfn.XLOOKUP(Z$8,'Master Data'!$C$2:$W$2,_xlfn.XLOOKUP($A122,'Master Data'!$B$3:$B$122,'Master Data'!$C$3:$W$122))-$B122)</f>
        <v>#N/A</v>
      </c>
      <c r="AA122" s="87" t="e" cm="1">
        <f t="array" ref="AA122">10^3*(_xlfn.XLOOKUP(AA$8,'Master Data'!$C$2:$W$2,_xlfn.XLOOKUP($A122,'Master Data'!$B$3:$B$122,'Master Data'!$C$3:$W$122))-$B122)</f>
        <v>#N/A</v>
      </c>
    </row>
    <row r="123" spans="1:27" x14ac:dyDescent="0.25">
      <c r="A123" s="101" t="s">
        <v>145</v>
      </c>
      <c r="B123" s="155">
        <v>60</v>
      </c>
      <c r="C123" t="b">
        <f>ISNUMBER(_xlfn.XMATCH(A123,'Master Data'!$B$3:$B$122))</f>
        <v>1</v>
      </c>
      <c r="E123" s="85" cm="1">
        <f t="array" ref="E123">10^3*(_xlfn.XLOOKUP(E$8,'Master Data'!$C$2:$W$2,_xlfn.XLOOKUP($A123,'Master Data'!$B$3:$B$122,'Master Data'!$C$3:$W$122))-$B123)</f>
        <v>10000</v>
      </c>
      <c r="F123" s="86" cm="1">
        <f t="array" ref="F123">10^3*(_xlfn.XLOOKUP(F$8,'Master Data'!$C$2:$W$2,_xlfn.XLOOKUP($A123,'Master Data'!$B$3:$B$122,'Master Data'!$C$3:$W$122))-$B123)</f>
        <v>10000</v>
      </c>
      <c r="G123" s="86" cm="1">
        <f t="array" ref="G123">10^3*(_xlfn.XLOOKUP(G$8,'Master Data'!$C$2:$W$2,_xlfn.XLOOKUP($A123,'Master Data'!$B$3:$B$122,'Master Data'!$C$3:$W$122))-$B123)</f>
        <v>5000</v>
      </c>
      <c r="H123" s="86" cm="1">
        <f t="array" ref="H123">10^3*(_xlfn.XLOOKUP(H$8,'Master Data'!$C$2:$W$2,_xlfn.XLOOKUP($A123,'Master Data'!$B$3:$B$122,'Master Data'!$C$3:$W$122))-$B123)</f>
        <v>5000</v>
      </c>
      <c r="I123" s="86" cm="1">
        <f t="array" ref="I123">10^3*(_xlfn.XLOOKUP(I$8,'Master Data'!$C$2:$W$2,_xlfn.XLOOKUP($A123,'Master Data'!$B$3:$B$122,'Master Data'!$C$3:$W$122))-$B123)</f>
        <v>5000</v>
      </c>
      <c r="J123" s="86" cm="1">
        <f t="array" ref="J123">10^3*(_xlfn.XLOOKUP(J$8,'Master Data'!$C$2:$W$2,_xlfn.XLOOKUP($A123,'Master Data'!$B$3:$B$122,'Master Data'!$C$3:$W$122))-$B123)</f>
        <v>5000</v>
      </c>
      <c r="K123" s="86" cm="1">
        <f t="array" ref="K123">10^3*(_xlfn.XLOOKUP(K$8,'Master Data'!$C$2:$W$2,_xlfn.XLOOKUP($A123,'Master Data'!$B$3:$B$122,'Master Data'!$C$3:$W$122))-$B123)</f>
        <v>5000</v>
      </c>
      <c r="L123" s="86" cm="1">
        <f t="array" ref="L123">10^3*(_xlfn.XLOOKUP(L$8,'Master Data'!$C$2:$W$2,_xlfn.XLOOKUP($A123,'Master Data'!$B$3:$B$122,'Master Data'!$C$3:$W$122))-$B123)</f>
        <v>5000</v>
      </c>
      <c r="M123" s="86" cm="1">
        <f t="array" ref="M123">10^3*(_xlfn.XLOOKUP(M$8,'Master Data'!$C$2:$W$2,_xlfn.XLOOKUP($A123,'Master Data'!$B$3:$B$122,'Master Data'!$C$3:$W$122))-$B123)</f>
        <v>5000</v>
      </c>
      <c r="N123" s="86" cm="1">
        <f t="array" ref="N123">10^3*(_xlfn.XLOOKUP(N$8,'Master Data'!$C$2:$W$2,_xlfn.XLOOKUP($A123,'Master Data'!$B$3:$B$122,'Master Data'!$C$3:$W$122))-$B123)</f>
        <v>5000</v>
      </c>
      <c r="O123" s="86" cm="1">
        <f t="array" ref="O123">10^3*(_xlfn.XLOOKUP(O$8,'Master Data'!$C$2:$W$2,_xlfn.XLOOKUP($A123,'Master Data'!$B$3:$B$122,'Master Data'!$C$3:$W$122))-$B123)</f>
        <v>5000</v>
      </c>
      <c r="P123" s="86" cm="1">
        <f t="array" ref="P123">10^3*(_xlfn.XLOOKUP(P$8,'Master Data'!$C$2:$W$2,_xlfn.XLOOKUP($A123,'Master Data'!$B$3:$B$122,'Master Data'!$C$3:$W$122))-$B123)</f>
        <v>10000</v>
      </c>
      <c r="Q123" s="86" cm="1">
        <f t="array" ref="Q123">10^3*(_xlfn.XLOOKUP(Q$8,'Master Data'!$C$2:$W$2,_xlfn.XLOOKUP($A123,'Master Data'!$B$3:$B$122,'Master Data'!$C$3:$W$122))-$B123)</f>
        <v>10000</v>
      </c>
      <c r="R123" s="86" cm="1">
        <f t="array" ref="R123">10^3*(_xlfn.XLOOKUP(R$8,'Master Data'!$C$2:$W$2,_xlfn.XLOOKUP($A123,'Master Data'!$B$3:$B$122,'Master Data'!$C$3:$W$122))-$B123)</f>
        <v>10000</v>
      </c>
      <c r="S123" s="86" cm="1">
        <f t="array" ref="S123">10^3*(_xlfn.XLOOKUP(S$8,'Master Data'!$C$2:$W$2,_xlfn.XLOOKUP($A123,'Master Data'!$B$3:$B$122,'Master Data'!$C$3:$W$122))-$B123)</f>
        <v>5000</v>
      </c>
      <c r="T123" s="86" cm="1">
        <f t="array" ref="T123">10^3*(_xlfn.XLOOKUP(T$8,'Master Data'!$C$2:$W$2,_xlfn.XLOOKUP($A123,'Master Data'!$B$3:$B$122,'Master Data'!$C$3:$W$122))-$B123)</f>
        <v>10000</v>
      </c>
      <c r="U123" s="86" cm="1">
        <f t="array" ref="U123">10^3*(_xlfn.XLOOKUP(U$8,'Master Data'!$C$2:$W$2,_xlfn.XLOOKUP($A123,'Master Data'!$B$3:$B$122,'Master Data'!$C$3:$W$122))-$B123)</f>
        <v>10000</v>
      </c>
      <c r="V123" s="86" cm="1">
        <f t="array" ref="V123">10^3*(_xlfn.XLOOKUP(V$8,'Master Data'!$C$2:$W$2,_xlfn.XLOOKUP($A123,'Master Data'!$B$3:$B$122,'Master Data'!$C$3:$W$122))-$B123)</f>
        <v>10000</v>
      </c>
      <c r="W123" s="86" cm="1">
        <f t="array" ref="W123">10^3*(_xlfn.XLOOKUP(W$8,'Master Data'!$C$2:$W$2,_xlfn.XLOOKUP($A123,'Master Data'!$B$3:$B$122,'Master Data'!$C$3:$W$122))-$B123)</f>
        <v>5000</v>
      </c>
      <c r="X123" s="86" cm="1">
        <f t="array" ref="X123">10^3*(_xlfn.XLOOKUP(X$8,'Master Data'!$C$2:$W$2,_xlfn.XLOOKUP($A123,'Master Data'!$B$3:$B$122,'Master Data'!$C$3:$W$122))-$B123)</f>
        <v>5000</v>
      </c>
      <c r="Y123" s="87" cm="1">
        <f t="array" ref="Y123">10^3*(_xlfn.XLOOKUP(Y$8,'Master Data'!$C$2:$W$2,_xlfn.XLOOKUP($A123,'Master Data'!$B$3:$B$122,'Master Data'!$C$3:$W$122))-$B123)</f>
        <v>5000</v>
      </c>
      <c r="Z123" s="87" t="e" cm="1">
        <f t="array" ref="Z123">10^3*(_xlfn.XLOOKUP(Z$8,'Master Data'!$C$2:$W$2,_xlfn.XLOOKUP($A123,'Master Data'!$B$3:$B$122,'Master Data'!$C$3:$W$122))-$B123)</f>
        <v>#N/A</v>
      </c>
      <c r="AA123" s="87" t="e" cm="1">
        <f t="array" ref="AA123">10^3*(_xlfn.XLOOKUP(AA$8,'Master Data'!$C$2:$W$2,_xlfn.XLOOKUP($A123,'Master Data'!$B$3:$B$122,'Master Data'!$C$3:$W$122))-$B123)</f>
        <v>#N/A</v>
      </c>
    </row>
    <row r="124" spans="1:27" x14ac:dyDescent="0.25">
      <c r="A124" s="101" t="s">
        <v>146</v>
      </c>
      <c r="B124" s="155">
        <v>75</v>
      </c>
      <c r="C124" t="b">
        <f>ISNUMBER(_xlfn.XMATCH(A124,'Master Data'!$B$3:$B$122))</f>
        <v>1</v>
      </c>
      <c r="E124" s="85" cm="1">
        <f t="array" ref="E124">10^3*(_xlfn.XLOOKUP(E$8,'Master Data'!$C$2:$W$2,_xlfn.XLOOKUP($A124,'Master Data'!$B$3:$B$122,'Master Data'!$C$3:$W$122))-$B124)</f>
        <v>-5000</v>
      </c>
      <c r="F124" s="86" cm="1">
        <f t="array" ref="F124">10^3*(_xlfn.XLOOKUP(F$8,'Master Data'!$C$2:$W$2,_xlfn.XLOOKUP($A124,'Master Data'!$B$3:$B$122,'Master Data'!$C$3:$W$122))-$B124)</f>
        <v>-5000</v>
      </c>
      <c r="G124" s="86" cm="1">
        <f t="array" ref="G124">10^3*(_xlfn.XLOOKUP(G$8,'Master Data'!$C$2:$W$2,_xlfn.XLOOKUP($A124,'Master Data'!$B$3:$B$122,'Master Data'!$C$3:$W$122))-$B124)</f>
        <v>-10000</v>
      </c>
      <c r="H124" s="86" cm="1">
        <f t="array" ref="H124">10^3*(_xlfn.XLOOKUP(H$8,'Master Data'!$C$2:$W$2,_xlfn.XLOOKUP($A124,'Master Data'!$B$3:$B$122,'Master Data'!$C$3:$W$122))-$B124)</f>
        <v>-10000</v>
      </c>
      <c r="I124" s="86" cm="1">
        <f t="array" ref="I124">10^3*(_xlfn.XLOOKUP(I$8,'Master Data'!$C$2:$W$2,_xlfn.XLOOKUP($A124,'Master Data'!$B$3:$B$122,'Master Data'!$C$3:$W$122))-$B124)</f>
        <v>-10000</v>
      </c>
      <c r="J124" s="86" cm="1">
        <f t="array" ref="J124">10^3*(_xlfn.XLOOKUP(J$8,'Master Data'!$C$2:$W$2,_xlfn.XLOOKUP($A124,'Master Data'!$B$3:$B$122,'Master Data'!$C$3:$W$122))-$B124)</f>
        <v>-10000</v>
      </c>
      <c r="K124" s="86" cm="1">
        <f t="array" ref="K124">10^3*(_xlfn.XLOOKUP(K$8,'Master Data'!$C$2:$W$2,_xlfn.XLOOKUP($A124,'Master Data'!$B$3:$B$122,'Master Data'!$C$3:$W$122))-$B124)</f>
        <v>-10000</v>
      </c>
      <c r="L124" s="86" cm="1">
        <f t="array" ref="L124">10^3*(_xlfn.XLOOKUP(L$8,'Master Data'!$C$2:$W$2,_xlfn.XLOOKUP($A124,'Master Data'!$B$3:$B$122,'Master Data'!$C$3:$W$122))-$B124)</f>
        <v>-10000</v>
      </c>
      <c r="M124" s="86" cm="1">
        <f t="array" ref="M124">10^3*(_xlfn.XLOOKUP(M$8,'Master Data'!$C$2:$W$2,_xlfn.XLOOKUP($A124,'Master Data'!$B$3:$B$122,'Master Data'!$C$3:$W$122))-$B124)</f>
        <v>-10000</v>
      </c>
      <c r="N124" s="86" cm="1">
        <f t="array" ref="N124">10^3*(_xlfn.XLOOKUP(N$8,'Master Data'!$C$2:$W$2,_xlfn.XLOOKUP($A124,'Master Data'!$B$3:$B$122,'Master Data'!$C$3:$W$122))-$B124)</f>
        <v>-10000</v>
      </c>
      <c r="O124" s="86" cm="1">
        <f t="array" ref="O124">10^3*(_xlfn.XLOOKUP(O$8,'Master Data'!$C$2:$W$2,_xlfn.XLOOKUP($A124,'Master Data'!$B$3:$B$122,'Master Data'!$C$3:$W$122))-$B124)</f>
        <v>-10000</v>
      </c>
      <c r="P124" s="86" cm="1">
        <f t="array" ref="P124">10^3*(_xlfn.XLOOKUP(P$8,'Master Data'!$C$2:$W$2,_xlfn.XLOOKUP($A124,'Master Data'!$B$3:$B$122,'Master Data'!$C$3:$W$122))-$B124)</f>
        <v>-5000</v>
      </c>
      <c r="Q124" s="86" cm="1">
        <f t="array" ref="Q124">10^3*(_xlfn.XLOOKUP(Q$8,'Master Data'!$C$2:$W$2,_xlfn.XLOOKUP($A124,'Master Data'!$B$3:$B$122,'Master Data'!$C$3:$W$122))-$B124)</f>
        <v>-5000</v>
      </c>
      <c r="R124" s="86" cm="1">
        <f t="array" ref="R124">10^3*(_xlfn.XLOOKUP(R$8,'Master Data'!$C$2:$W$2,_xlfn.XLOOKUP($A124,'Master Data'!$B$3:$B$122,'Master Data'!$C$3:$W$122))-$B124)</f>
        <v>-5000</v>
      </c>
      <c r="S124" s="86" cm="1">
        <f t="array" ref="S124">10^3*(_xlfn.XLOOKUP(S$8,'Master Data'!$C$2:$W$2,_xlfn.XLOOKUP($A124,'Master Data'!$B$3:$B$122,'Master Data'!$C$3:$W$122))-$B124)</f>
        <v>-10000</v>
      </c>
      <c r="T124" s="86" cm="1">
        <f t="array" ref="T124">10^3*(_xlfn.XLOOKUP(T$8,'Master Data'!$C$2:$W$2,_xlfn.XLOOKUP($A124,'Master Data'!$B$3:$B$122,'Master Data'!$C$3:$W$122))-$B124)</f>
        <v>-5000</v>
      </c>
      <c r="U124" s="86" cm="1">
        <f t="array" ref="U124">10^3*(_xlfn.XLOOKUP(U$8,'Master Data'!$C$2:$W$2,_xlfn.XLOOKUP($A124,'Master Data'!$B$3:$B$122,'Master Data'!$C$3:$W$122))-$B124)</f>
        <v>-5000</v>
      </c>
      <c r="V124" s="86" cm="1">
        <f t="array" ref="V124">10^3*(_xlfn.XLOOKUP(V$8,'Master Data'!$C$2:$W$2,_xlfn.XLOOKUP($A124,'Master Data'!$B$3:$B$122,'Master Data'!$C$3:$W$122))-$B124)</f>
        <v>-5000</v>
      </c>
      <c r="W124" s="86" cm="1">
        <f t="array" ref="W124">10^3*(_xlfn.XLOOKUP(W$8,'Master Data'!$C$2:$W$2,_xlfn.XLOOKUP($A124,'Master Data'!$B$3:$B$122,'Master Data'!$C$3:$W$122))-$B124)</f>
        <v>-10000</v>
      </c>
      <c r="X124" s="86" cm="1">
        <f t="array" ref="X124">10^3*(_xlfn.XLOOKUP(X$8,'Master Data'!$C$2:$W$2,_xlfn.XLOOKUP($A124,'Master Data'!$B$3:$B$122,'Master Data'!$C$3:$W$122))-$B124)</f>
        <v>-10000</v>
      </c>
      <c r="Y124" s="87" cm="1">
        <f t="array" ref="Y124">10^3*(_xlfn.XLOOKUP(Y$8,'Master Data'!$C$2:$W$2,_xlfn.XLOOKUP($A124,'Master Data'!$B$3:$B$122,'Master Data'!$C$3:$W$122))-$B124)</f>
        <v>-10000</v>
      </c>
      <c r="Z124" s="87" t="e" cm="1">
        <f t="array" ref="Z124">10^3*(_xlfn.XLOOKUP(Z$8,'Master Data'!$C$2:$W$2,_xlfn.XLOOKUP($A124,'Master Data'!$B$3:$B$122,'Master Data'!$C$3:$W$122))-$B124)</f>
        <v>#N/A</v>
      </c>
      <c r="AA124" s="87" t="e" cm="1">
        <f t="array" ref="AA124">10^3*(_xlfn.XLOOKUP(AA$8,'Master Data'!$C$2:$W$2,_xlfn.XLOOKUP($A124,'Master Data'!$B$3:$B$122,'Master Data'!$C$3:$W$122))-$B124)</f>
        <v>#N/A</v>
      </c>
    </row>
    <row r="125" spans="1:27" x14ac:dyDescent="0.25">
      <c r="A125" s="101" t="s">
        <v>147</v>
      </c>
      <c r="B125" s="155">
        <v>75</v>
      </c>
      <c r="C125" t="b">
        <f>ISNUMBER(_xlfn.XMATCH(A125,'Master Data'!$B$3:$B$122))</f>
        <v>1</v>
      </c>
      <c r="E125" s="85" cm="1">
        <f t="array" ref="E125">10^3*(_xlfn.XLOOKUP(E$8,'Master Data'!$C$2:$W$2,_xlfn.XLOOKUP($A125,'Master Data'!$B$3:$B$122,'Master Data'!$C$3:$W$122))-$B125)</f>
        <v>10000</v>
      </c>
      <c r="F125" s="86" cm="1">
        <f t="array" ref="F125">10^3*(_xlfn.XLOOKUP(F$8,'Master Data'!$C$2:$W$2,_xlfn.XLOOKUP($A125,'Master Data'!$B$3:$B$122,'Master Data'!$C$3:$W$122))-$B125)</f>
        <v>10000</v>
      </c>
      <c r="G125" s="86" cm="1">
        <f t="array" ref="G125">10^3*(_xlfn.XLOOKUP(G$8,'Master Data'!$C$2:$W$2,_xlfn.XLOOKUP($A125,'Master Data'!$B$3:$B$122,'Master Data'!$C$3:$W$122))-$B125)</f>
        <v>10000</v>
      </c>
      <c r="H125" s="86" cm="1">
        <f t="array" ref="H125">10^3*(_xlfn.XLOOKUP(H$8,'Master Data'!$C$2:$W$2,_xlfn.XLOOKUP($A125,'Master Data'!$B$3:$B$122,'Master Data'!$C$3:$W$122))-$B125)</f>
        <v>10000</v>
      </c>
      <c r="I125" s="86" cm="1">
        <f t="array" ref="I125">10^3*(_xlfn.XLOOKUP(I$8,'Master Data'!$C$2:$W$2,_xlfn.XLOOKUP($A125,'Master Data'!$B$3:$B$122,'Master Data'!$C$3:$W$122))-$B125)</f>
        <v>10000</v>
      </c>
      <c r="J125" s="86" cm="1">
        <f t="array" ref="J125">10^3*(_xlfn.XLOOKUP(J$8,'Master Data'!$C$2:$W$2,_xlfn.XLOOKUP($A125,'Master Data'!$B$3:$B$122,'Master Data'!$C$3:$W$122))-$B125)</f>
        <v>10000</v>
      </c>
      <c r="K125" s="86" cm="1">
        <f t="array" ref="K125">10^3*(_xlfn.XLOOKUP(K$8,'Master Data'!$C$2:$W$2,_xlfn.XLOOKUP($A125,'Master Data'!$B$3:$B$122,'Master Data'!$C$3:$W$122))-$B125)</f>
        <v>10000</v>
      </c>
      <c r="L125" s="86" cm="1">
        <f t="array" ref="L125">10^3*(_xlfn.XLOOKUP(L$8,'Master Data'!$C$2:$W$2,_xlfn.XLOOKUP($A125,'Master Data'!$B$3:$B$122,'Master Data'!$C$3:$W$122))-$B125)</f>
        <v>10000</v>
      </c>
      <c r="M125" s="86" cm="1">
        <f t="array" ref="M125">10^3*(_xlfn.XLOOKUP(M$8,'Master Data'!$C$2:$W$2,_xlfn.XLOOKUP($A125,'Master Data'!$B$3:$B$122,'Master Data'!$C$3:$W$122))-$B125)</f>
        <v>10000</v>
      </c>
      <c r="N125" s="86" cm="1">
        <f t="array" ref="N125">10^3*(_xlfn.XLOOKUP(N$8,'Master Data'!$C$2:$W$2,_xlfn.XLOOKUP($A125,'Master Data'!$B$3:$B$122,'Master Data'!$C$3:$W$122))-$B125)</f>
        <v>10000</v>
      </c>
      <c r="O125" s="86" cm="1">
        <f t="array" ref="O125">10^3*(_xlfn.XLOOKUP(O$8,'Master Data'!$C$2:$W$2,_xlfn.XLOOKUP($A125,'Master Data'!$B$3:$B$122,'Master Data'!$C$3:$W$122))-$B125)</f>
        <v>10000</v>
      </c>
      <c r="P125" s="86" cm="1">
        <f t="array" ref="P125">10^3*(_xlfn.XLOOKUP(P$8,'Master Data'!$C$2:$W$2,_xlfn.XLOOKUP($A125,'Master Data'!$B$3:$B$122,'Master Data'!$C$3:$W$122))-$B125)</f>
        <v>10000</v>
      </c>
      <c r="Q125" s="86" cm="1">
        <f t="array" ref="Q125">10^3*(_xlfn.XLOOKUP(Q$8,'Master Data'!$C$2:$W$2,_xlfn.XLOOKUP($A125,'Master Data'!$B$3:$B$122,'Master Data'!$C$3:$W$122))-$B125)</f>
        <v>10000</v>
      </c>
      <c r="R125" s="86" cm="1">
        <f t="array" ref="R125">10^3*(_xlfn.XLOOKUP(R$8,'Master Data'!$C$2:$W$2,_xlfn.XLOOKUP($A125,'Master Data'!$B$3:$B$122,'Master Data'!$C$3:$W$122))-$B125)</f>
        <v>10000</v>
      </c>
      <c r="S125" s="86" cm="1">
        <f t="array" ref="S125">10^3*(_xlfn.XLOOKUP(S$8,'Master Data'!$C$2:$W$2,_xlfn.XLOOKUP($A125,'Master Data'!$B$3:$B$122,'Master Data'!$C$3:$W$122))-$B125)</f>
        <v>10000</v>
      </c>
      <c r="T125" s="86" cm="1">
        <f t="array" ref="T125">10^3*(_xlfn.XLOOKUP(T$8,'Master Data'!$C$2:$W$2,_xlfn.XLOOKUP($A125,'Master Data'!$B$3:$B$122,'Master Data'!$C$3:$W$122))-$B125)</f>
        <v>10000</v>
      </c>
      <c r="U125" s="86" cm="1">
        <f t="array" ref="U125">10^3*(_xlfn.XLOOKUP(U$8,'Master Data'!$C$2:$W$2,_xlfn.XLOOKUP($A125,'Master Data'!$B$3:$B$122,'Master Data'!$C$3:$W$122))-$B125)</f>
        <v>10000</v>
      </c>
      <c r="V125" s="86" cm="1">
        <f t="array" ref="V125">10^3*(_xlfn.XLOOKUP(V$8,'Master Data'!$C$2:$W$2,_xlfn.XLOOKUP($A125,'Master Data'!$B$3:$B$122,'Master Data'!$C$3:$W$122))-$B125)</f>
        <v>10000</v>
      </c>
      <c r="W125" s="86" cm="1">
        <f t="array" ref="W125">10^3*(_xlfn.XLOOKUP(W$8,'Master Data'!$C$2:$W$2,_xlfn.XLOOKUP($A125,'Master Data'!$B$3:$B$122,'Master Data'!$C$3:$W$122))-$B125)</f>
        <v>10000</v>
      </c>
      <c r="X125" s="86" cm="1">
        <f t="array" ref="X125">10^3*(_xlfn.XLOOKUP(X$8,'Master Data'!$C$2:$W$2,_xlfn.XLOOKUP($A125,'Master Data'!$B$3:$B$122,'Master Data'!$C$3:$W$122))-$B125)</f>
        <v>10000</v>
      </c>
      <c r="Y125" s="87" cm="1">
        <f t="array" ref="Y125">10^3*(_xlfn.XLOOKUP(Y$8,'Master Data'!$C$2:$W$2,_xlfn.XLOOKUP($A125,'Master Data'!$B$3:$B$122,'Master Data'!$C$3:$W$122))-$B125)</f>
        <v>10000</v>
      </c>
      <c r="Z125" s="87" t="e" cm="1">
        <f t="array" ref="Z125">10^3*(_xlfn.XLOOKUP(Z$8,'Master Data'!$C$2:$W$2,_xlfn.XLOOKUP($A125,'Master Data'!$B$3:$B$122,'Master Data'!$C$3:$W$122))-$B125)</f>
        <v>#N/A</v>
      </c>
      <c r="AA125" s="87" t="e" cm="1">
        <f t="array" ref="AA125">10^3*(_xlfn.XLOOKUP(AA$8,'Master Data'!$C$2:$W$2,_xlfn.XLOOKUP($A125,'Master Data'!$B$3:$B$122,'Master Data'!$C$3:$W$122))-$B125)</f>
        <v>#N/A</v>
      </c>
    </row>
    <row r="126" spans="1:27" x14ac:dyDescent="0.25">
      <c r="A126" s="101" t="s">
        <v>148</v>
      </c>
      <c r="B126" s="155">
        <v>67</v>
      </c>
      <c r="C126" t="b">
        <f>ISNUMBER(_xlfn.XMATCH(A126,'Master Data'!$B$3:$B$122))</f>
        <v>1</v>
      </c>
      <c r="E126" s="85" cm="1">
        <f t="array" ref="E126">10^3*(_xlfn.XLOOKUP(E$8,'Master Data'!$C$2:$W$2,_xlfn.XLOOKUP($A126,'Master Data'!$B$3:$B$122,'Master Data'!$C$3:$W$122))-$B126)</f>
        <v>18000</v>
      </c>
      <c r="F126" s="86" cm="1">
        <f t="array" ref="F126">10^3*(_xlfn.XLOOKUP(F$8,'Master Data'!$C$2:$W$2,_xlfn.XLOOKUP($A126,'Master Data'!$B$3:$B$122,'Master Data'!$C$3:$W$122))-$B126)</f>
        <v>18000</v>
      </c>
      <c r="G126" s="86" cm="1">
        <f t="array" ref="G126">10^3*(_xlfn.XLOOKUP(G$8,'Master Data'!$C$2:$W$2,_xlfn.XLOOKUP($A126,'Master Data'!$B$3:$B$122,'Master Data'!$C$3:$W$122))-$B126)</f>
        <v>16000</v>
      </c>
      <c r="H126" s="86" cm="1">
        <f t="array" ref="H126">10^3*(_xlfn.XLOOKUP(H$8,'Master Data'!$C$2:$W$2,_xlfn.XLOOKUP($A126,'Master Data'!$B$3:$B$122,'Master Data'!$C$3:$W$122))-$B126)</f>
        <v>16000</v>
      </c>
      <c r="I126" s="86" cm="1">
        <f t="array" ref="I126">10^3*(_xlfn.XLOOKUP(I$8,'Master Data'!$C$2:$W$2,_xlfn.XLOOKUP($A126,'Master Data'!$B$3:$B$122,'Master Data'!$C$3:$W$122))-$B126)</f>
        <v>16000</v>
      </c>
      <c r="J126" s="86" cm="1">
        <f t="array" ref="J126">10^3*(_xlfn.XLOOKUP(J$8,'Master Data'!$C$2:$W$2,_xlfn.XLOOKUP($A126,'Master Data'!$B$3:$B$122,'Master Data'!$C$3:$W$122))-$B126)</f>
        <v>16000</v>
      </c>
      <c r="K126" s="86" cm="1">
        <f t="array" ref="K126">10^3*(_xlfn.XLOOKUP(K$8,'Master Data'!$C$2:$W$2,_xlfn.XLOOKUP($A126,'Master Data'!$B$3:$B$122,'Master Data'!$C$3:$W$122))-$B126)</f>
        <v>16000</v>
      </c>
      <c r="L126" s="86" cm="1">
        <f t="array" ref="L126">10^3*(_xlfn.XLOOKUP(L$8,'Master Data'!$C$2:$W$2,_xlfn.XLOOKUP($A126,'Master Data'!$B$3:$B$122,'Master Data'!$C$3:$W$122))-$B126)</f>
        <v>16000</v>
      </c>
      <c r="M126" s="86" cm="1">
        <f t="array" ref="M126">10^3*(_xlfn.XLOOKUP(M$8,'Master Data'!$C$2:$W$2,_xlfn.XLOOKUP($A126,'Master Data'!$B$3:$B$122,'Master Data'!$C$3:$W$122))-$B126)</f>
        <v>16000</v>
      </c>
      <c r="N126" s="86" cm="1">
        <f t="array" ref="N126">10^3*(_xlfn.XLOOKUP(N$8,'Master Data'!$C$2:$W$2,_xlfn.XLOOKUP($A126,'Master Data'!$B$3:$B$122,'Master Data'!$C$3:$W$122))-$B126)</f>
        <v>16000</v>
      </c>
      <c r="O126" s="86" cm="1">
        <f t="array" ref="O126">10^3*(_xlfn.XLOOKUP(O$8,'Master Data'!$C$2:$W$2,_xlfn.XLOOKUP($A126,'Master Data'!$B$3:$B$122,'Master Data'!$C$3:$W$122))-$B126)</f>
        <v>16000</v>
      </c>
      <c r="P126" s="86" cm="1">
        <f t="array" ref="P126">10^3*(_xlfn.XLOOKUP(P$8,'Master Data'!$C$2:$W$2,_xlfn.XLOOKUP($A126,'Master Data'!$B$3:$B$122,'Master Data'!$C$3:$W$122))-$B126)</f>
        <v>18000</v>
      </c>
      <c r="Q126" s="86" cm="1">
        <f t="array" ref="Q126">10^3*(_xlfn.XLOOKUP(Q$8,'Master Data'!$C$2:$W$2,_xlfn.XLOOKUP($A126,'Master Data'!$B$3:$B$122,'Master Data'!$C$3:$W$122))-$B126)</f>
        <v>18000</v>
      </c>
      <c r="R126" s="86" cm="1">
        <f t="array" ref="R126">10^3*(_xlfn.XLOOKUP(R$8,'Master Data'!$C$2:$W$2,_xlfn.XLOOKUP($A126,'Master Data'!$B$3:$B$122,'Master Data'!$C$3:$W$122))-$B126)</f>
        <v>18000</v>
      </c>
      <c r="S126" s="86" cm="1">
        <f t="array" ref="S126">10^3*(_xlfn.XLOOKUP(S$8,'Master Data'!$C$2:$W$2,_xlfn.XLOOKUP($A126,'Master Data'!$B$3:$B$122,'Master Data'!$C$3:$W$122))-$B126)</f>
        <v>16000</v>
      </c>
      <c r="T126" s="86" cm="1">
        <f t="array" ref="T126">10^3*(_xlfn.XLOOKUP(T$8,'Master Data'!$C$2:$W$2,_xlfn.XLOOKUP($A126,'Master Data'!$B$3:$B$122,'Master Data'!$C$3:$W$122))-$B126)</f>
        <v>18000</v>
      </c>
      <c r="U126" s="86" cm="1">
        <f t="array" ref="U126">10^3*(_xlfn.XLOOKUP(U$8,'Master Data'!$C$2:$W$2,_xlfn.XLOOKUP($A126,'Master Data'!$B$3:$B$122,'Master Data'!$C$3:$W$122))-$B126)</f>
        <v>18000</v>
      </c>
      <c r="V126" s="86" cm="1">
        <f t="array" ref="V126">10^3*(_xlfn.XLOOKUP(V$8,'Master Data'!$C$2:$W$2,_xlfn.XLOOKUP($A126,'Master Data'!$B$3:$B$122,'Master Data'!$C$3:$W$122))-$B126)</f>
        <v>18000</v>
      </c>
      <c r="W126" s="86" cm="1">
        <f t="array" ref="W126">10^3*(_xlfn.XLOOKUP(W$8,'Master Data'!$C$2:$W$2,_xlfn.XLOOKUP($A126,'Master Data'!$B$3:$B$122,'Master Data'!$C$3:$W$122))-$B126)</f>
        <v>16000</v>
      </c>
      <c r="X126" s="86" cm="1">
        <f t="array" ref="X126">10^3*(_xlfn.XLOOKUP(X$8,'Master Data'!$C$2:$W$2,_xlfn.XLOOKUP($A126,'Master Data'!$B$3:$B$122,'Master Data'!$C$3:$W$122))-$B126)</f>
        <v>16000</v>
      </c>
      <c r="Y126" s="87" cm="1">
        <f t="array" ref="Y126">10^3*(_xlfn.XLOOKUP(Y$8,'Master Data'!$C$2:$W$2,_xlfn.XLOOKUP($A126,'Master Data'!$B$3:$B$122,'Master Data'!$C$3:$W$122))-$B126)</f>
        <v>16000</v>
      </c>
      <c r="Z126" s="87" t="e" cm="1">
        <f t="array" ref="Z126">10^3*(_xlfn.XLOOKUP(Z$8,'Master Data'!$C$2:$W$2,_xlfn.XLOOKUP($A126,'Master Data'!$B$3:$B$122,'Master Data'!$C$3:$W$122))-$B126)</f>
        <v>#N/A</v>
      </c>
      <c r="AA126" s="87" t="e" cm="1">
        <f t="array" ref="AA126">10^3*(_xlfn.XLOOKUP(AA$8,'Master Data'!$C$2:$W$2,_xlfn.XLOOKUP($A126,'Master Data'!$B$3:$B$122,'Master Data'!$C$3:$W$122))-$B126)</f>
        <v>#N/A</v>
      </c>
    </row>
    <row r="127" spans="1:27" x14ac:dyDescent="0.25">
      <c r="A127" s="101" t="s">
        <v>149</v>
      </c>
      <c r="B127" s="155">
        <v>67</v>
      </c>
      <c r="C127" t="b">
        <f>ISNUMBER(_xlfn.XMATCH(A127,'Master Data'!$B$3:$B$122))</f>
        <v>1</v>
      </c>
      <c r="E127" s="88" cm="1">
        <f t="array" ref="E127">10^3*(_xlfn.XLOOKUP(E$8,'Master Data'!$C$2:$W$2,_xlfn.XLOOKUP($A127,'Master Data'!$B$3:$B$122,'Master Data'!$C$3:$W$122))-$B127)</f>
        <v>8000</v>
      </c>
      <c r="F127" s="89" cm="1">
        <f t="array" ref="F127">10^3*(_xlfn.XLOOKUP(F$8,'Master Data'!$C$2:$W$2,_xlfn.XLOOKUP($A127,'Master Data'!$B$3:$B$122,'Master Data'!$C$3:$W$122))-$B127)</f>
        <v>8000</v>
      </c>
      <c r="G127" s="89" cm="1">
        <f t="array" ref="G127">10^3*(_xlfn.XLOOKUP(G$8,'Master Data'!$C$2:$W$2,_xlfn.XLOOKUP($A127,'Master Data'!$B$3:$B$122,'Master Data'!$C$3:$W$122))-$B127)</f>
        <v>6000</v>
      </c>
      <c r="H127" s="89" cm="1">
        <f t="array" ref="H127">10^3*(_xlfn.XLOOKUP(H$8,'Master Data'!$C$2:$W$2,_xlfn.XLOOKUP($A127,'Master Data'!$B$3:$B$122,'Master Data'!$C$3:$W$122))-$B127)</f>
        <v>6000</v>
      </c>
      <c r="I127" s="89" cm="1">
        <f t="array" ref="I127">10^3*(_xlfn.XLOOKUP(I$8,'Master Data'!$C$2:$W$2,_xlfn.XLOOKUP($A127,'Master Data'!$B$3:$B$122,'Master Data'!$C$3:$W$122))-$B127)</f>
        <v>6000</v>
      </c>
      <c r="J127" s="89" cm="1">
        <f t="array" ref="J127">10^3*(_xlfn.XLOOKUP(J$8,'Master Data'!$C$2:$W$2,_xlfn.XLOOKUP($A127,'Master Data'!$B$3:$B$122,'Master Data'!$C$3:$W$122))-$B127)</f>
        <v>6000</v>
      </c>
      <c r="K127" s="89" cm="1">
        <f t="array" ref="K127">10^3*(_xlfn.XLOOKUP(K$8,'Master Data'!$C$2:$W$2,_xlfn.XLOOKUP($A127,'Master Data'!$B$3:$B$122,'Master Data'!$C$3:$W$122))-$B127)</f>
        <v>6000</v>
      </c>
      <c r="L127" s="89" cm="1">
        <f t="array" ref="L127">10^3*(_xlfn.XLOOKUP(L$8,'Master Data'!$C$2:$W$2,_xlfn.XLOOKUP($A127,'Master Data'!$B$3:$B$122,'Master Data'!$C$3:$W$122))-$B127)</f>
        <v>6000</v>
      </c>
      <c r="M127" s="89" cm="1">
        <f t="array" ref="M127">10^3*(_xlfn.XLOOKUP(M$8,'Master Data'!$C$2:$W$2,_xlfn.XLOOKUP($A127,'Master Data'!$B$3:$B$122,'Master Data'!$C$3:$W$122))-$B127)</f>
        <v>6000</v>
      </c>
      <c r="N127" s="89" cm="1">
        <f t="array" ref="N127">10^3*(_xlfn.XLOOKUP(N$8,'Master Data'!$C$2:$W$2,_xlfn.XLOOKUP($A127,'Master Data'!$B$3:$B$122,'Master Data'!$C$3:$W$122))-$B127)</f>
        <v>6000</v>
      </c>
      <c r="O127" s="89" cm="1">
        <f t="array" ref="O127">10^3*(_xlfn.XLOOKUP(O$8,'Master Data'!$C$2:$W$2,_xlfn.XLOOKUP($A127,'Master Data'!$B$3:$B$122,'Master Data'!$C$3:$W$122))-$B127)</f>
        <v>6000</v>
      </c>
      <c r="P127" s="89" cm="1">
        <f t="array" ref="P127">10^3*(_xlfn.XLOOKUP(P$8,'Master Data'!$C$2:$W$2,_xlfn.XLOOKUP($A127,'Master Data'!$B$3:$B$122,'Master Data'!$C$3:$W$122))-$B127)</f>
        <v>8000</v>
      </c>
      <c r="Q127" s="89" cm="1">
        <f t="array" ref="Q127">10^3*(_xlfn.XLOOKUP(Q$8,'Master Data'!$C$2:$W$2,_xlfn.XLOOKUP($A127,'Master Data'!$B$3:$B$122,'Master Data'!$C$3:$W$122))-$B127)</f>
        <v>8000</v>
      </c>
      <c r="R127" s="89" cm="1">
        <f t="array" ref="R127">10^3*(_xlfn.XLOOKUP(R$8,'Master Data'!$C$2:$W$2,_xlfn.XLOOKUP($A127,'Master Data'!$B$3:$B$122,'Master Data'!$C$3:$W$122))-$B127)</f>
        <v>8000</v>
      </c>
      <c r="S127" s="89" cm="1">
        <f t="array" ref="S127">10^3*(_xlfn.XLOOKUP(S$8,'Master Data'!$C$2:$W$2,_xlfn.XLOOKUP($A127,'Master Data'!$B$3:$B$122,'Master Data'!$C$3:$W$122))-$B127)</f>
        <v>6000</v>
      </c>
      <c r="T127" s="89" cm="1">
        <f t="array" ref="T127">10^3*(_xlfn.XLOOKUP(T$8,'Master Data'!$C$2:$W$2,_xlfn.XLOOKUP($A127,'Master Data'!$B$3:$B$122,'Master Data'!$C$3:$W$122))-$B127)</f>
        <v>8000</v>
      </c>
      <c r="U127" s="89" cm="1">
        <f t="array" ref="U127">10^3*(_xlfn.XLOOKUP(U$8,'Master Data'!$C$2:$W$2,_xlfn.XLOOKUP($A127,'Master Data'!$B$3:$B$122,'Master Data'!$C$3:$W$122))-$B127)</f>
        <v>8000</v>
      </c>
      <c r="V127" s="89" cm="1">
        <f t="array" ref="V127">10^3*(_xlfn.XLOOKUP(V$8,'Master Data'!$C$2:$W$2,_xlfn.XLOOKUP($A127,'Master Data'!$B$3:$B$122,'Master Data'!$C$3:$W$122))-$B127)</f>
        <v>8000</v>
      </c>
      <c r="W127" s="89" cm="1">
        <f t="array" ref="W127">10^3*(_xlfn.XLOOKUP(W$8,'Master Data'!$C$2:$W$2,_xlfn.XLOOKUP($A127,'Master Data'!$B$3:$B$122,'Master Data'!$C$3:$W$122))-$B127)</f>
        <v>6000</v>
      </c>
      <c r="X127" s="89" cm="1">
        <f t="array" ref="X127">10^3*(_xlfn.XLOOKUP(X$8,'Master Data'!$C$2:$W$2,_xlfn.XLOOKUP($A127,'Master Data'!$B$3:$B$122,'Master Data'!$C$3:$W$122))-$B127)</f>
        <v>6000</v>
      </c>
      <c r="Y127" s="90" cm="1">
        <f t="array" ref="Y127">10^3*(_xlfn.XLOOKUP(Y$8,'Master Data'!$C$2:$W$2,_xlfn.XLOOKUP($A127,'Master Data'!$B$3:$B$122,'Master Data'!$C$3:$W$122))-$B127)</f>
        <v>6000</v>
      </c>
      <c r="Z127" s="90" t="e" cm="1">
        <f t="array" ref="Z127">10^3*(_xlfn.XLOOKUP(Z$8,'Master Data'!$C$2:$W$2,_xlfn.XLOOKUP($A127,'Master Data'!$B$3:$B$122,'Master Data'!$C$3:$W$122))-$B127)</f>
        <v>#N/A</v>
      </c>
      <c r="AA127" s="90" t="e" cm="1">
        <f t="array" ref="AA127">10^3*(_xlfn.XLOOKUP(AA$8,'Master Data'!$C$2:$W$2,_xlfn.XLOOKUP($A127,'Master Data'!$B$3:$B$122,'Master Data'!$C$3:$W$122))-$B127)</f>
        <v>#N/A</v>
      </c>
    </row>
    <row r="128" spans="1:27" x14ac:dyDescent="0.25">
      <c r="A128" s="101" t="s">
        <v>150</v>
      </c>
      <c r="B128" s="155">
        <v>67</v>
      </c>
      <c r="C128" t="b">
        <f>ISNUMBER(_xlfn.XMATCH(A128,'Master Data'!$B$3:$B$122))</f>
        <v>1</v>
      </c>
      <c r="E128" s="88" cm="1">
        <f t="array" ref="E128">10^3*(_xlfn.XLOOKUP(E$8,'Master Data'!$C$2:$W$2,_xlfn.XLOOKUP($A128,'Master Data'!$B$3:$B$122,'Master Data'!$C$3:$W$122))-$B128)</f>
        <v>8000</v>
      </c>
      <c r="F128" s="89" cm="1">
        <f t="array" ref="F128">10^3*(_xlfn.XLOOKUP(F$8,'Master Data'!$C$2:$W$2,_xlfn.XLOOKUP($A128,'Master Data'!$B$3:$B$122,'Master Data'!$C$3:$W$122))-$B128)</f>
        <v>8000</v>
      </c>
      <c r="G128" s="89" cm="1">
        <f t="array" ref="G128">10^3*(_xlfn.XLOOKUP(G$8,'Master Data'!$C$2:$W$2,_xlfn.XLOOKUP($A128,'Master Data'!$B$3:$B$122,'Master Data'!$C$3:$W$122))-$B128)</f>
        <v>6000</v>
      </c>
      <c r="H128" s="89" cm="1">
        <f t="array" ref="H128">10^3*(_xlfn.XLOOKUP(H$8,'Master Data'!$C$2:$W$2,_xlfn.XLOOKUP($A128,'Master Data'!$B$3:$B$122,'Master Data'!$C$3:$W$122))-$B128)</f>
        <v>6000</v>
      </c>
      <c r="I128" s="89" cm="1">
        <f t="array" ref="I128">10^3*(_xlfn.XLOOKUP(I$8,'Master Data'!$C$2:$W$2,_xlfn.XLOOKUP($A128,'Master Data'!$B$3:$B$122,'Master Data'!$C$3:$W$122))-$B128)</f>
        <v>6000</v>
      </c>
      <c r="J128" s="89" cm="1">
        <f t="array" ref="J128">10^3*(_xlfn.XLOOKUP(J$8,'Master Data'!$C$2:$W$2,_xlfn.XLOOKUP($A128,'Master Data'!$B$3:$B$122,'Master Data'!$C$3:$W$122))-$B128)</f>
        <v>6000</v>
      </c>
      <c r="K128" s="89" cm="1">
        <f t="array" ref="K128">10^3*(_xlfn.XLOOKUP(K$8,'Master Data'!$C$2:$W$2,_xlfn.XLOOKUP($A128,'Master Data'!$B$3:$B$122,'Master Data'!$C$3:$W$122))-$B128)</f>
        <v>6000</v>
      </c>
      <c r="L128" s="89" cm="1">
        <f t="array" ref="L128">10^3*(_xlfn.XLOOKUP(L$8,'Master Data'!$C$2:$W$2,_xlfn.XLOOKUP($A128,'Master Data'!$B$3:$B$122,'Master Data'!$C$3:$W$122))-$B128)</f>
        <v>6000</v>
      </c>
      <c r="M128" s="89" cm="1">
        <f t="array" ref="M128">10^3*(_xlfn.XLOOKUP(M$8,'Master Data'!$C$2:$W$2,_xlfn.XLOOKUP($A128,'Master Data'!$B$3:$B$122,'Master Data'!$C$3:$W$122))-$B128)</f>
        <v>6000</v>
      </c>
      <c r="N128" s="89" cm="1">
        <f t="array" ref="N128">10^3*(_xlfn.XLOOKUP(N$8,'Master Data'!$C$2:$W$2,_xlfn.XLOOKUP($A128,'Master Data'!$B$3:$B$122,'Master Data'!$C$3:$W$122))-$B128)</f>
        <v>6000</v>
      </c>
      <c r="O128" s="89" cm="1">
        <f t="array" ref="O128">10^3*(_xlfn.XLOOKUP(O$8,'Master Data'!$C$2:$W$2,_xlfn.XLOOKUP($A128,'Master Data'!$B$3:$B$122,'Master Data'!$C$3:$W$122))-$B128)</f>
        <v>6000</v>
      </c>
      <c r="P128" s="89" cm="1">
        <f t="array" ref="P128">10^3*(_xlfn.XLOOKUP(P$8,'Master Data'!$C$2:$W$2,_xlfn.XLOOKUP($A128,'Master Data'!$B$3:$B$122,'Master Data'!$C$3:$W$122))-$B128)</f>
        <v>8000</v>
      </c>
      <c r="Q128" s="89" cm="1">
        <f t="array" ref="Q128">10^3*(_xlfn.XLOOKUP(Q$8,'Master Data'!$C$2:$W$2,_xlfn.XLOOKUP($A128,'Master Data'!$B$3:$B$122,'Master Data'!$C$3:$W$122))-$B128)</f>
        <v>8000</v>
      </c>
      <c r="R128" s="89" cm="1">
        <f t="array" ref="R128">10^3*(_xlfn.XLOOKUP(R$8,'Master Data'!$C$2:$W$2,_xlfn.XLOOKUP($A128,'Master Data'!$B$3:$B$122,'Master Data'!$C$3:$W$122))-$B128)</f>
        <v>8000</v>
      </c>
      <c r="S128" s="89" cm="1">
        <f t="array" ref="S128">10^3*(_xlfn.XLOOKUP(S$8,'Master Data'!$C$2:$W$2,_xlfn.XLOOKUP($A128,'Master Data'!$B$3:$B$122,'Master Data'!$C$3:$W$122))-$B128)</f>
        <v>6000</v>
      </c>
      <c r="T128" s="89" cm="1">
        <f t="array" ref="T128">10^3*(_xlfn.XLOOKUP(T$8,'Master Data'!$C$2:$W$2,_xlfn.XLOOKUP($A128,'Master Data'!$B$3:$B$122,'Master Data'!$C$3:$W$122))-$B128)</f>
        <v>8000</v>
      </c>
      <c r="U128" s="89" cm="1">
        <f t="array" ref="U128">10^3*(_xlfn.XLOOKUP(U$8,'Master Data'!$C$2:$W$2,_xlfn.XLOOKUP($A128,'Master Data'!$B$3:$B$122,'Master Data'!$C$3:$W$122))-$B128)</f>
        <v>8000</v>
      </c>
      <c r="V128" s="89" cm="1">
        <f t="array" ref="V128">10^3*(_xlfn.XLOOKUP(V$8,'Master Data'!$C$2:$W$2,_xlfn.XLOOKUP($A128,'Master Data'!$B$3:$B$122,'Master Data'!$C$3:$W$122))-$B128)</f>
        <v>8000</v>
      </c>
      <c r="W128" s="89" cm="1">
        <f t="array" ref="W128">10^3*(_xlfn.XLOOKUP(W$8,'Master Data'!$C$2:$W$2,_xlfn.XLOOKUP($A128,'Master Data'!$B$3:$B$122,'Master Data'!$C$3:$W$122))-$B128)</f>
        <v>6000</v>
      </c>
      <c r="X128" s="89" cm="1">
        <f t="array" ref="X128">10^3*(_xlfn.XLOOKUP(X$8,'Master Data'!$C$2:$W$2,_xlfn.XLOOKUP($A128,'Master Data'!$B$3:$B$122,'Master Data'!$C$3:$W$122))-$B128)</f>
        <v>6000</v>
      </c>
      <c r="Y128" s="90" cm="1">
        <f t="array" ref="Y128">10^3*(_xlfn.XLOOKUP(Y$8,'Master Data'!$C$2:$W$2,_xlfn.XLOOKUP($A128,'Master Data'!$B$3:$B$122,'Master Data'!$C$3:$W$122))-$B128)</f>
        <v>6000</v>
      </c>
      <c r="Z128" s="90" t="e" cm="1">
        <f t="array" ref="Z128">10^3*(_xlfn.XLOOKUP(Z$8,'Master Data'!$C$2:$W$2,_xlfn.XLOOKUP($A128,'Master Data'!$B$3:$B$122,'Master Data'!$C$3:$W$122))-$B128)</f>
        <v>#N/A</v>
      </c>
      <c r="AA128" s="90" t="e" cm="1">
        <f t="array" ref="AA128">10^3*(_xlfn.XLOOKUP(AA$8,'Master Data'!$C$2:$W$2,_xlfn.XLOOKUP($A128,'Master Data'!$B$3:$B$122,'Master Data'!$C$3:$W$122))-$B128)</f>
        <v>#N/A</v>
      </c>
    </row>
    <row r="129" spans="1:9" x14ac:dyDescent="0.25">
      <c r="A129" s="101"/>
      <c r="B129" s="155"/>
    </row>
    <row r="130" spans="1:9" x14ac:dyDescent="0.25">
      <c r="A130" s="101"/>
      <c r="B130" s="155"/>
    </row>
    <row r="131" spans="1:9" x14ac:dyDescent="0.25">
      <c r="A131" s="101"/>
      <c r="B131" s="155"/>
    </row>
    <row r="132" spans="1:9" x14ac:dyDescent="0.25">
      <c r="A132" s="101"/>
      <c r="B132" s="155"/>
    </row>
    <row r="133" spans="1:9" x14ac:dyDescent="0.25">
      <c r="A133" s="101"/>
      <c r="B133" s="155"/>
      <c r="G133" s="7" t="s">
        <v>200</v>
      </c>
      <c r="H133" s="150">
        <v>78</v>
      </c>
      <c r="I133" t="b">
        <f>ISNUMBER(_xlfn.XMATCH(G133,'Master Data'!$B$3:$B$122))</f>
        <v>1</v>
      </c>
    </row>
    <row r="134" spans="1:9" x14ac:dyDescent="0.25">
      <c r="A134" s="101"/>
      <c r="B134" s="155"/>
      <c r="G134" s="7" t="s">
        <v>201</v>
      </c>
      <c r="H134" s="150">
        <v>75</v>
      </c>
      <c r="I134" t="b">
        <f>ISNUMBER(_xlfn.XMATCH(G134,'Master Data'!$B$3:$B$122))</f>
        <v>1</v>
      </c>
    </row>
    <row r="135" spans="1:9" x14ac:dyDescent="0.25">
      <c r="A135" s="101"/>
      <c r="B135" s="155"/>
      <c r="G135" s="7" t="s">
        <v>202</v>
      </c>
      <c r="H135" s="150">
        <v>70</v>
      </c>
      <c r="I135" t="b">
        <f>ISNUMBER(_xlfn.XMATCH(G135,'Master Data'!$B$3:$B$122))</f>
        <v>1</v>
      </c>
    </row>
    <row r="136" spans="1:9" x14ac:dyDescent="0.25">
      <c r="A136" s="101"/>
      <c r="B136" s="155"/>
      <c r="G136" s="7" t="s">
        <v>203</v>
      </c>
      <c r="H136" s="150">
        <v>67.5</v>
      </c>
      <c r="I136" t="b">
        <f>ISNUMBER(_xlfn.XMATCH(G136,'Master Data'!$B$3:$B$122))</f>
        <v>1</v>
      </c>
    </row>
    <row r="137" spans="1:9" x14ac:dyDescent="0.25">
      <c r="A137" s="101"/>
      <c r="B137" s="155"/>
      <c r="G137" s="7" t="s">
        <v>153</v>
      </c>
      <c r="H137" s="150">
        <v>78</v>
      </c>
      <c r="I137" t="b">
        <f>ISNUMBER(_xlfn.XMATCH(G137,'Master Data'!$B$3:$B$122))</f>
        <v>1</v>
      </c>
    </row>
    <row r="138" spans="1:9" x14ac:dyDescent="0.25">
      <c r="A138" s="101"/>
      <c r="B138" s="155"/>
    </row>
    <row r="139" spans="1:9" x14ac:dyDescent="0.25">
      <c r="A139" s="101"/>
      <c r="B139" s="155"/>
    </row>
    <row r="140" spans="1:9" x14ac:dyDescent="0.25">
      <c r="A140" s="101"/>
      <c r="B140" s="155"/>
    </row>
    <row r="141" spans="1:9" x14ac:dyDescent="0.25">
      <c r="A141" s="101"/>
      <c r="B141" s="155"/>
    </row>
    <row r="142" spans="1:9" x14ac:dyDescent="0.25">
      <c r="A142" s="101"/>
      <c r="B142" s="155"/>
    </row>
    <row r="143" spans="1:9" x14ac:dyDescent="0.25">
      <c r="A143" s="101"/>
      <c r="B143" s="155"/>
    </row>
    <row r="144" spans="1:9" x14ac:dyDescent="0.25">
      <c r="A144" s="101"/>
      <c r="B144" s="155"/>
    </row>
    <row r="145" spans="1:2" x14ac:dyDescent="0.25">
      <c r="A145" s="101"/>
      <c r="B145" s="155"/>
    </row>
    <row r="146" spans="1:2" x14ac:dyDescent="0.25">
      <c r="A146" s="101"/>
      <c r="B146" s="155"/>
    </row>
    <row r="147" spans="1:2" x14ac:dyDescent="0.25">
      <c r="A147" s="101"/>
      <c r="B147" s="155"/>
    </row>
    <row r="148" spans="1:2" x14ac:dyDescent="0.25">
      <c r="A148" s="101"/>
      <c r="B148" s="155"/>
    </row>
    <row r="149" spans="1:2" x14ac:dyDescent="0.25">
      <c r="A149" s="101"/>
      <c r="B149" s="155"/>
    </row>
    <row r="150" spans="1:2" x14ac:dyDescent="0.25">
      <c r="A150" s="101"/>
      <c r="B150" s="155"/>
    </row>
    <row r="151" spans="1:2" x14ac:dyDescent="0.25">
      <c r="A151" s="101"/>
      <c r="B151" s="155"/>
    </row>
    <row r="152" spans="1:2" x14ac:dyDescent="0.25">
      <c r="A152" s="101"/>
      <c r="B152" s="155"/>
    </row>
    <row r="153" spans="1:2" x14ac:dyDescent="0.25">
      <c r="A153" s="101"/>
      <c r="B153" s="155"/>
    </row>
    <row r="154" spans="1:2" x14ac:dyDescent="0.25">
      <c r="A154" s="101"/>
      <c r="B154" s="155"/>
    </row>
    <row r="155" spans="1:2" x14ac:dyDescent="0.25">
      <c r="A155" s="101"/>
      <c r="B155" s="155"/>
    </row>
    <row r="156" spans="1:2" x14ac:dyDescent="0.25">
      <c r="A156" s="101"/>
      <c r="B156" s="155"/>
    </row>
    <row r="157" spans="1:2" x14ac:dyDescent="0.25">
      <c r="A157" s="101"/>
      <c r="B157" s="155"/>
    </row>
    <row r="158" spans="1:2" x14ac:dyDescent="0.25">
      <c r="A158" s="101"/>
      <c r="B158" s="155"/>
    </row>
    <row r="159" spans="1:2" x14ac:dyDescent="0.25">
      <c r="A159" s="101"/>
      <c r="B159" s="155"/>
    </row>
    <row r="160" spans="1:2" x14ac:dyDescent="0.25">
      <c r="A160" s="101"/>
      <c r="B160" s="155"/>
    </row>
    <row r="161" spans="1:2" x14ac:dyDescent="0.25">
      <c r="A161" s="101"/>
      <c r="B161" s="155"/>
    </row>
    <row r="162" spans="1:2" x14ac:dyDescent="0.25">
      <c r="A162" s="101"/>
      <c r="B162" s="155"/>
    </row>
    <row r="163" spans="1:2" x14ac:dyDescent="0.25">
      <c r="A163" s="156"/>
      <c r="B163" s="157"/>
    </row>
  </sheetData>
  <sortState xmlns:xlrd2="http://schemas.microsoft.com/office/spreadsheetml/2017/richdata2" ref="A9:Y128">
    <sortCondition ref="A9:A128"/>
  </sortState>
  <conditionalFormatting sqref="C16:C128 I133:I137">
    <cfRule type="cellIs" dxfId="4" priority="5" operator="equal">
      <formula>FALSE</formula>
    </cfRule>
  </conditionalFormatting>
  <conditionalFormatting sqref="E16:AA128">
    <cfRule type="cellIs" dxfId="3" priority="2" operator="lessThan">
      <formul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Pelanggan_baru">
                <anchor moveWithCells="1" sizeWithCells="1">
                  <from>
                    <xdr:col>2</xdr:col>
                    <xdr:colOff>76200</xdr:colOff>
                    <xdr:row>1</xdr:row>
                    <xdr:rowOff>38100</xdr:rowOff>
                  </from>
                  <to>
                    <xdr:col>3</xdr:col>
                    <xdr:colOff>295275</xdr:colOff>
                    <xdr:row>2</xdr:row>
                    <xdr:rowOff>152400</xdr:rowOff>
                  </to>
                </anchor>
              </controlPr>
            </control>
          </mc:Choice>
        </mc:AlternateContent>
        <mc:AlternateContent xmlns:mc="http://schemas.openxmlformats.org/markup-compatibility/2006">
          <mc:Choice Requires="x14">
            <control shapeId="9218" r:id="rId4" name="Button 2">
              <controlPr defaultSize="0" print="0" autoFill="0" autoPict="0" macro="[0]!Produk_baru">
                <anchor moveWithCells="1" sizeWithCells="1">
                  <from>
                    <xdr:col>2</xdr:col>
                    <xdr:colOff>95250</xdr:colOff>
                    <xdr:row>4</xdr:row>
                    <xdr:rowOff>66675</xdr:rowOff>
                  </from>
                  <to>
                    <xdr:col>3</xdr:col>
                    <xdr:colOff>314325</xdr:colOff>
                    <xdr:row>5</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6496F-B43B-4EEE-9385-86765E52CCEC}">
  <sheetPr codeName="Sheet6"/>
  <dimension ref="A2:R16"/>
  <sheetViews>
    <sheetView workbookViewId="0">
      <selection activeCell="B1" sqref="B1"/>
    </sheetView>
  </sheetViews>
  <sheetFormatPr defaultColWidth="9.140625" defaultRowHeight="15" x14ac:dyDescent="0.25"/>
  <cols>
    <col min="1" max="1" width="4.140625" style="97" customWidth="1"/>
    <col min="2" max="2" width="32.42578125" style="97" customWidth="1"/>
    <col min="3" max="5" width="13.42578125" style="97" hidden="1" customWidth="1"/>
    <col min="6" max="6" width="10.85546875" style="97" hidden="1" customWidth="1"/>
    <col min="7" max="7" width="12.5703125" style="97" customWidth="1"/>
    <col min="8" max="8" width="4.140625" style="97" customWidth="1"/>
    <col min="9" max="9" width="20.85546875" style="97" customWidth="1"/>
    <col min="10" max="10" width="8.85546875" style="97" customWidth="1"/>
    <col min="11" max="12" width="35.42578125" style="97" customWidth="1"/>
    <col min="13" max="13" width="28.42578125" style="97" customWidth="1"/>
    <col min="14" max="16384" width="9.140625" style="97"/>
  </cols>
  <sheetData>
    <row r="2" spans="1:18" x14ac:dyDescent="0.25">
      <c r="A2" s="97" t="s">
        <v>205</v>
      </c>
      <c r="D2" s="97" t="s">
        <v>206</v>
      </c>
      <c r="H2" s="97" t="s">
        <v>207</v>
      </c>
      <c r="K2" s="97" t="s">
        <v>208</v>
      </c>
      <c r="M2" s="97" t="s">
        <v>209</v>
      </c>
    </row>
    <row r="3" spans="1:18" ht="72.75" customHeight="1" x14ac:dyDescent="0.25">
      <c r="A3" s="98">
        <f>IF(B3="","",ROW(A1))</f>
        <v>1</v>
      </c>
      <c r="B3" s="98" t="s">
        <v>210</v>
      </c>
      <c r="D3" s="97" t="str">
        <f>B14</f>
        <v>modal</v>
      </c>
      <c r="G3" s="97" t="s">
        <v>211</v>
      </c>
      <c r="H3" s="97" t="s">
        <v>212</v>
      </c>
      <c r="I3" s="97" t="s">
        <v>213</v>
      </c>
      <c r="K3" s="99" t="s">
        <v>214</v>
      </c>
      <c r="L3" s="99" t="s">
        <v>215</v>
      </c>
      <c r="M3" s="99" t="s">
        <v>216</v>
      </c>
      <c r="Q3" s="99"/>
      <c r="R3" s="99"/>
    </row>
    <row r="4" spans="1:18" ht="40.5" customHeight="1" x14ac:dyDescent="0.25">
      <c r="A4" s="97">
        <f t="shared" ref="A4:A8" si="0">IF(B4="","",ROW(A2))</f>
        <v>2</v>
      </c>
      <c r="B4" s="97" t="s">
        <v>217</v>
      </c>
      <c r="H4" s="97" t="s">
        <v>218</v>
      </c>
      <c r="I4" s="97" t="s">
        <v>219</v>
      </c>
      <c r="K4" s="99" t="s">
        <v>220</v>
      </c>
      <c r="L4" s="97" t="s">
        <v>221</v>
      </c>
    </row>
    <row r="5" spans="1:18" ht="36.75" customHeight="1" x14ac:dyDescent="0.25">
      <c r="A5" s="97">
        <f t="shared" si="0"/>
        <v>3</v>
      </c>
      <c r="B5" s="97" t="s">
        <v>222</v>
      </c>
      <c r="H5" s="97" t="s">
        <v>223</v>
      </c>
      <c r="I5" s="97" t="s">
        <v>224</v>
      </c>
      <c r="K5" s="99" t="s">
        <v>225</v>
      </c>
      <c r="L5" s="97" t="s">
        <v>226</v>
      </c>
    </row>
    <row r="6" spans="1:18" ht="102.75" customHeight="1" x14ac:dyDescent="0.25">
      <c r="A6" s="97">
        <f t="shared" si="0"/>
        <v>4</v>
      </c>
      <c r="B6" s="97" t="s">
        <v>227</v>
      </c>
      <c r="H6" s="97" t="s">
        <v>228</v>
      </c>
      <c r="I6" s="97" t="s">
        <v>229</v>
      </c>
      <c r="K6" s="99" t="s">
        <v>230</v>
      </c>
    </row>
    <row r="7" spans="1:18" x14ac:dyDescent="0.25">
      <c r="A7" s="100">
        <f t="shared" si="0"/>
        <v>5</v>
      </c>
      <c r="B7" s="100" t="s">
        <v>231</v>
      </c>
      <c r="H7" s="97" t="s">
        <v>232</v>
      </c>
      <c r="I7" s="97" t="s">
        <v>233</v>
      </c>
      <c r="K7" s="97" t="s">
        <v>234</v>
      </c>
    </row>
    <row r="8" spans="1:18" x14ac:dyDescent="0.25">
      <c r="A8" s="97" t="str">
        <f t="shared" si="0"/>
        <v/>
      </c>
    </row>
    <row r="9" spans="1:18" x14ac:dyDescent="0.25">
      <c r="A9" s="97" t="s">
        <v>235</v>
      </c>
    </row>
    <row r="10" spans="1:18" x14ac:dyDescent="0.25">
      <c r="A10" s="97">
        <f>IF(B10="","",ROW(A1))</f>
        <v>1</v>
      </c>
      <c r="B10" s="97" t="s">
        <v>236</v>
      </c>
      <c r="I10" s="97" t="s">
        <v>237</v>
      </c>
    </row>
    <row r="11" spans="1:18" x14ac:dyDescent="0.25">
      <c r="A11" s="97">
        <f t="shared" ref="A11:A16" si="1">IF(B11="","",ROW(A2))</f>
        <v>2</v>
      </c>
      <c r="B11" s="97" t="s">
        <v>238</v>
      </c>
      <c r="I11" s="97" t="s">
        <v>239</v>
      </c>
    </row>
    <row r="12" spans="1:18" ht="120" x14ac:dyDescent="0.25">
      <c r="A12" s="100">
        <f t="shared" si="1"/>
        <v>3</v>
      </c>
      <c r="B12" s="100" t="s">
        <v>240</v>
      </c>
      <c r="I12" s="99" t="s">
        <v>241</v>
      </c>
    </row>
    <row r="13" spans="1:18" ht="45" x14ac:dyDescent="0.25">
      <c r="A13" s="97">
        <f t="shared" si="1"/>
        <v>4</v>
      </c>
      <c r="B13" s="97" t="s">
        <v>242</v>
      </c>
      <c r="I13" s="99" t="s">
        <v>243</v>
      </c>
    </row>
    <row r="14" spans="1:18" x14ac:dyDescent="0.25">
      <c r="A14" s="97">
        <f t="shared" si="1"/>
        <v>5</v>
      </c>
      <c r="B14" s="97" t="s">
        <v>244</v>
      </c>
      <c r="I14" s="97" t="s">
        <v>245</v>
      </c>
    </row>
    <row r="15" spans="1:18" x14ac:dyDescent="0.25">
      <c r="A15" s="97">
        <f t="shared" si="1"/>
        <v>6</v>
      </c>
      <c r="B15" s="97" t="s">
        <v>246</v>
      </c>
    </row>
    <row r="16" spans="1:18" x14ac:dyDescent="0.25">
      <c r="A16" s="97">
        <f t="shared" si="1"/>
        <v>7</v>
      </c>
      <c r="B16" s="97" t="s">
        <v>247</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A316A8-6065-41C0-A94F-6FCCA8A3F4A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Laba-Rugi</vt:lpstr>
      <vt:lpstr>Nota Transaksi</vt:lpstr>
      <vt:lpstr>Stock Opname</vt:lpstr>
      <vt:lpstr>Laporan Bisnis &amp; Keuangan</vt:lpstr>
      <vt:lpstr>Master Data</vt:lpstr>
      <vt:lpstr>Data Produk</vt:lpstr>
      <vt:lpstr>STRATEGIC ROADMAP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DIMAS IMAM S. S.</dc:creator>
  <cp:keywords/>
  <dc:description/>
  <cp:lastModifiedBy>DIMAS IMAM</cp:lastModifiedBy>
  <cp:revision/>
  <dcterms:created xsi:type="dcterms:W3CDTF">2026-07-20T02:10:52Z</dcterms:created>
  <dcterms:modified xsi:type="dcterms:W3CDTF">2026-08-23T19:44:51Z</dcterms:modified>
  <cp:category/>
  <cp:contentStatus/>
</cp:coreProperties>
</file>